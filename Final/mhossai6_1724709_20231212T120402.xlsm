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mhossai6\Downloads\"/>
    </mc:Choice>
  </mc:AlternateContent>
  <bookViews>
    <workbookView xWindow="0" yWindow="0" windowWidth="28800" windowHeight="12990" activeTab="7"/>
  </bookViews>
  <sheets>
    <sheet name="Answers" sheetId="26" r:id="rId1"/>
    <sheet name="FC1" sheetId="6" r:id="rId2"/>
    <sheet name="FC2" sheetId="9" r:id="rId3"/>
    <sheet name="FC3" sheetId="11" r:id="rId4"/>
    <sheet name="MC1" sheetId="13" r:id="rId5"/>
    <sheet name="MC2" sheetId="15" r:id="rId6"/>
    <sheet name="AP" sheetId="17" r:id="rId7"/>
    <sheet name="DP" sheetId="19" r:id="rId8"/>
    <sheet name="PA" sheetId="21" r:id="rId9"/>
    <sheet name="IM" sheetId="24" r:id="rId10"/>
    <sheet name="CM Bugs" sheetId="29" r:id="rId11"/>
    <sheet name="Introduction" sheetId="1" r:id="rId12"/>
    <sheet name="MMs" sheetId="2" r:id="rId13"/>
    <sheet name="MMs finite cap" sheetId="3" r:id="rId14"/>
    <sheet name="MMs finite pop" sheetId="5" r:id="rId15"/>
    <sheet name="MG1" sheetId="4" r:id="rId16"/>
  </sheets>
  <functionGroups builtInGroupCount="18"/>
  <definedNames>
    <definedName name="_xlnm._FilterDatabase" localSheetId="7" hidden="1">DP!$A$1:$E$67</definedName>
    <definedName name="_xlnm._FilterDatabase" localSheetId="4" hidden="1">'MC1'!$G$1:$G$29</definedName>
    <definedName name="sencount" hidden="1">2</definedName>
    <definedName name="solver_adj" localSheetId="6" hidden="1">AP!$F$2:$G$6</definedName>
    <definedName name="solver_adj" localSheetId="7" hidden="1">DP!$A$2:$A$67</definedName>
    <definedName name="solver_adj" localSheetId="3" hidden="1">'FC3'!$G$3:$G$5</definedName>
    <definedName name="solver_adj" localSheetId="8" hidden="1">PA!$B$2:$D$2,PA!$E$5:$E$14,PA!$E$17:$E$26</definedName>
    <definedName name="solver_cvg" localSheetId="6" hidden="1">0.0001</definedName>
    <definedName name="solver_cvg" localSheetId="7" hidden="1">0.0001</definedName>
    <definedName name="solver_cvg" localSheetId="3" hidden="1">0.0001</definedName>
    <definedName name="solver_cvg" localSheetId="8" hidden="1">0.0001</definedName>
    <definedName name="solver_drv" localSheetId="6" hidden="1">1</definedName>
    <definedName name="solver_drv" localSheetId="7" hidden="1">1</definedName>
    <definedName name="solver_drv" localSheetId="3" hidden="1">1</definedName>
    <definedName name="solver_drv" localSheetId="8" hidden="1">1</definedName>
    <definedName name="solver_eng" localSheetId="6" hidden="1">2</definedName>
    <definedName name="solver_eng" localSheetId="7" hidden="1">2</definedName>
    <definedName name="solver_eng" localSheetId="3" hidden="1">1</definedName>
    <definedName name="solver_eng" localSheetId="9" hidden="1">1</definedName>
    <definedName name="solver_eng" localSheetId="8" hidden="1">2</definedName>
    <definedName name="solver_est" localSheetId="6" hidden="1">1</definedName>
    <definedName name="solver_est" localSheetId="7" hidden="1">1</definedName>
    <definedName name="solver_est" localSheetId="3" hidden="1">1</definedName>
    <definedName name="solver_est" localSheetId="8" hidden="1">1</definedName>
    <definedName name="solver_itr" localSheetId="6" hidden="1">2147483647</definedName>
    <definedName name="solver_itr" localSheetId="7" hidden="1">2147483647</definedName>
    <definedName name="solver_itr" localSheetId="3" hidden="1">2147483647</definedName>
    <definedName name="solver_itr" localSheetId="8" hidden="1">2147483647</definedName>
    <definedName name="solver_lhs1" localSheetId="6" hidden="1">AP!$F$2:$F$6</definedName>
    <definedName name="solver_lhs1" localSheetId="7" hidden="1">DP!$M$2:$M$17</definedName>
    <definedName name="solver_lhs1" localSheetId="3" hidden="1">'FC3'!$G$3</definedName>
    <definedName name="solver_lhs1" localSheetId="8" hidden="1">PA!$B$2:$C$2</definedName>
    <definedName name="solver_lhs2" localSheetId="6" hidden="1">AP!$F$2:$F$6</definedName>
    <definedName name="solver_lhs2" localSheetId="7" hidden="1">DP!$M$2:$M$17</definedName>
    <definedName name="solver_lhs2" localSheetId="3" hidden="1">'FC3'!$G$3:$G$5</definedName>
    <definedName name="solver_lhs2" localSheetId="8" hidden="1">PA!$B$2:$C$2</definedName>
    <definedName name="solver_lhs3" localSheetId="6" hidden="1">AP!$F$7</definedName>
    <definedName name="solver_lhs3" localSheetId="3" hidden="1">'FC3'!$G$3:$G$5</definedName>
    <definedName name="solver_lhs3" localSheetId="8" hidden="1">PA!$E$17:$E$26</definedName>
    <definedName name="solver_lhs4" localSheetId="6" hidden="1">AP!$G$2:$G$6</definedName>
    <definedName name="solver_lhs4" localSheetId="3" hidden="1">'FC3'!$G$4</definedName>
    <definedName name="solver_lhs4" localSheetId="8" hidden="1">PA!$E$5:$E$14</definedName>
    <definedName name="solver_lhs5" localSheetId="6" hidden="1">AP!$G$7</definedName>
    <definedName name="solver_lhs5" localSheetId="3" hidden="1">'FC3'!$G$6</definedName>
    <definedName name="solver_lhs5" localSheetId="8" hidden="1">PA!$F$17:$F$26</definedName>
    <definedName name="solver_lhs6" localSheetId="8" hidden="1">PA!$F$5:$F$14</definedName>
    <definedName name="solver_lin" localSheetId="6" hidden="1">1</definedName>
    <definedName name="solver_lin" localSheetId="7" hidden="1">1</definedName>
    <definedName name="solver_mip" localSheetId="6" hidden="1">2147483647</definedName>
    <definedName name="solver_mip" localSheetId="7" hidden="1">2147483647</definedName>
    <definedName name="solver_mip" localSheetId="3" hidden="1">2147483647</definedName>
    <definedName name="solver_mip" localSheetId="8" hidden="1">2147483647</definedName>
    <definedName name="solver_mni" localSheetId="6" hidden="1">30</definedName>
    <definedName name="solver_mni" localSheetId="7" hidden="1">30</definedName>
    <definedName name="solver_mni" localSheetId="3" hidden="1">30</definedName>
    <definedName name="solver_mni" localSheetId="8" hidden="1">30</definedName>
    <definedName name="solver_mrt" localSheetId="6" hidden="1">0.075</definedName>
    <definedName name="solver_mrt" localSheetId="7" hidden="1">0.075</definedName>
    <definedName name="solver_mrt" localSheetId="3" hidden="1">0.075</definedName>
    <definedName name="solver_mrt" localSheetId="8" hidden="1">0.075</definedName>
    <definedName name="solver_msl" localSheetId="6" hidden="1">2</definedName>
    <definedName name="solver_msl" localSheetId="7" hidden="1">2</definedName>
    <definedName name="solver_msl" localSheetId="3" hidden="1">1</definedName>
    <definedName name="solver_msl" localSheetId="8" hidden="1">2</definedName>
    <definedName name="solver_neg" localSheetId="6" hidden="1">1</definedName>
    <definedName name="solver_neg" localSheetId="7" hidden="1">1</definedName>
    <definedName name="solver_neg" localSheetId="3" hidden="1">1</definedName>
    <definedName name="solver_neg" localSheetId="9" hidden="1">1</definedName>
    <definedName name="solver_neg" localSheetId="8" hidden="1">1</definedName>
    <definedName name="solver_nod" localSheetId="6" hidden="1">2147483647</definedName>
    <definedName name="solver_nod" localSheetId="7" hidden="1">2147483647</definedName>
    <definedName name="solver_nod" localSheetId="3" hidden="1">2147483647</definedName>
    <definedName name="solver_nod" localSheetId="8" hidden="1">2147483647</definedName>
    <definedName name="solver_num" localSheetId="6" hidden="1">5</definedName>
    <definedName name="solver_num" localSheetId="7" hidden="1">1</definedName>
    <definedName name="solver_num" localSheetId="3" hidden="1">5</definedName>
    <definedName name="solver_num" localSheetId="9" hidden="1">0</definedName>
    <definedName name="solver_num" localSheetId="8" hidden="1">6</definedName>
    <definedName name="solver_nwt" localSheetId="6" hidden="1">1</definedName>
    <definedName name="solver_nwt" localSheetId="7" hidden="1">1</definedName>
    <definedName name="solver_nwt" localSheetId="3" hidden="1">1</definedName>
    <definedName name="solver_nwt" localSheetId="8" hidden="1">1</definedName>
    <definedName name="solver_opt" localSheetId="6" hidden="1">AP!$F$10</definedName>
    <definedName name="solver_opt" localSheetId="7" hidden="1">DP!$S$3</definedName>
    <definedName name="solver_opt" localSheetId="3" hidden="1">'FC3'!$G$107</definedName>
    <definedName name="solver_opt" localSheetId="9" hidden="1">IM!$J$5</definedName>
    <definedName name="solver_opt" localSheetId="8" hidden="1">PA!$J$27</definedName>
    <definedName name="solver_pre" localSheetId="6" hidden="1">0.000001</definedName>
    <definedName name="solver_pre" localSheetId="7" hidden="1">0.000001</definedName>
    <definedName name="solver_pre" localSheetId="3" hidden="1">0.000001</definedName>
    <definedName name="solver_pre" localSheetId="8" hidden="1">0.000001</definedName>
    <definedName name="solver_rbv" localSheetId="6" hidden="1">1</definedName>
    <definedName name="solver_rbv" localSheetId="7" hidden="1">1</definedName>
    <definedName name="solver_rbv" localSheetId="3" hidden="1">1</definedName>
    <definedName name="solver_rbv" localSheetId="8" hidden="1">1</definedName>
    <definedName name="solver_rel1" localSheetId="6" hidden="1">1</definedName>
    <definedName name="solver_rel1" localSheetId="7" hidden="1">3</definedName>
    <definedName name="solver_rel1" localSheetId="3" hidden="1">1</definedName>
    <definedName name="solver_rel1" localSheetId="8" hidden="1">1</definedName>
    <definedName name="solver_rel2" localSheetId="6" hidden="1">3</definedName>
    <definedName name="solver_rel2" localSheetId="7" hidden="1">3</definedName>
    <definedName name="solver_rel2" localSheetId="3" hidden="1">1</definedName>
    <definedName name="solver_rel2" localSheetId="8" hidden="1">3</definedName>
    <definedName name="solver_rel3" localSheetId="6" hidden="1">3</definedName>
    <definedName name="solver_rel3" localSheetId="3" hidden="1">3</definedName>
    <definedName name="solver_rel3" localSheetId="8" hidden="1">5</definedName>
    <definedName name="solver_rel4" localSheetId="6" hidden="1">5</definedName>
    <definedName name="solver_rel4" localSheetId="3" hidden="1">1</definedName>
    <definedName name="solver_rel4" localSheetId="8" hidden="1">5</definedName>
    <definedName name="solver_rel5" localSheetId="6" hidden="1">1</definedName>
    <definedName name="solver_rel5" localSheetId="3" hidden="1">2</definedName>
    <definedName name="solver_rel5" localSheetId="8" hidden="1">3</definedName>
    <definedName name="solver_rel6" localSheetId="8" hidden="1">1</definedName>
    <definedName name="solver_rhs1" localSheetId="6" hidden="1">AP!$I$2:$I$6</definedName>
    <definedName name="solver_rhs1" localSheetId="7" hidden="1">DP!$N$2:$N$17</definedName>
    <definedName name="solver_rhs1" localSheetId="3" hidden="1">'FC3'!$G$4</definedName>
    <definedName name="solver_rhs1" localSheetId="8" hidden="1">1</definedName>
    <definedName name="solver_rhs2" localSheetId="6" hidden="1">AP!$H$2:$H$6</definedName>
    <definedName name="solver_rhs2" localSheetId="7" hidden="1">DP!$N$2:$N$17</definedName>
    <definedName name="solver_rhs2" localSheetId="3" hidden="1">0.99</definedName>
    <definedName name="solver_rhs2" localSheetId="8" hidden="1">-1</definedName>
    <definedName name="solver_rhs3" localSheetId="6" hidden="1">AP!$D$10</definedName>
    <definedName name="solver_rhs3" localSheetId="3" hidden="1">0.01</definedName>
    <definedName name="solver_rhs3" localSheetId="8" hidden="1">"binary"</definedName>
    <definedName name="solver_rhs4" localSheetId="6" hidden="1">"binary"</definedName>
    <definedName name="solver_rhs4" localSheetId="3" hidden="1">'FC3'!$G$5</definedName>
    <definedName name="solver_rhs4" localSheetId="8" hidden="1">"binary"</definedName>
    <definedName name="solver_rhs5" localSheetId="6" hidden="1">AP!$D$11</definedName>
    <definedName name="solver_rhs5" localSheetId="3" hidden="1">1</definedName>
    <definedName name="solver_rhs5" localSheetId="8" hidden="1">PA!$G$17:$G$26</definedName>
    <definedName name="solver_rhs6" localSheetId="8" hidden="1">PA!$G$5:$G$14</definedName>
    <definedName name="solver_rlx" localSheetId="6" hidden="1">2</definedName>
    <definedName name="solver_rlx" localSheetId="7" hidden="1">2</definedName>
    <definedName name="solver_rlx" localSheetId="3" hidden="1">2</definedName>
    <definedName name="solver_rlx" localSheetId="8" hidden="1">2</definedName>
    <definedName name="solver_rsd" localSheetId="6" hidden="1">0</definedName>
    <definedName name="solver_rsd" localSheetId="7" hidden="1">0</definedName>
    <definedName name="solver_rsd" localSheetId="3" hidden="1">0</definedName>
    <definedName name="solver_rsd" localSheetId="8" hidden="1">0</definedName>
    <definedName name="solver_scl" localSheetId="6" hidden="1">1</definedName>
    <definedName name="solver_scl" localSheetId="7" hidden="1">1</definedName>
    <definedName name="solver_scl" localSheetId="3" hidden="1">1</definedName>
    <definedName name="solver_scl" localSheetId="8" hidden="1">1</definedName>
    <definedName name="solver_sho" localSheetId="6" hidden="1">2</definedName>
    <definedName name="solver_sho" localSheetId="7" hidden="1">2</definedName>
    <definedName name="solver_sho" localSheetId="3" hidden="1">2</definedName>
    <definedName name="solver_sho" localSheetId="8" hidden="1">2</definedName>
    <definedName name="solver_ssz" localSheetId="6" hidden="1">100</definedName>
    <definedName name="solver_ssz" localSheetId="7" hidden="1">100</definedName>
    <definedName name="solver_ssz" localSheetId="3" hidden="1">100</definedName>
    <definedName name="solver_ssz" localSheetId="8" hidden="1">100</definedName>
    <definedName name="solver_tim" localSheetId="6" hidden="1">2147483647</definedName>
    <definedName name="solver_tim" localSheetId="7" hidden="1">2147483647</definedName>
    <definedName name="solver_tim" localSheetId="3" hidden="1">2147483647</definedName>
    <definedName name="solver_tim" localSheetId="8" hidden="1">2147483647</definedName>
    <definedName name="solver_tol" localSheetId="6" hidden="1">0</definedName>
    <definedName name="solver_tol" localSheetId="7" hidden="1">0.01</definedName>
    <definedName name="solver_tol" localSheetId="3" hidden="1">0.01</definedName>
    <definedName name="solver_tol" localSheetId="8" hidden="1">0</definedName>
    <definedName name="solver_typ" localSheetId="6" hidden="1">2</definedName>
    <definedName name="solver_typ" localSheetId="7" hidden="1">2</definedName>
    <definedName name="solver_typ" localSheetId="3" hidden="1">2</definedName>
    <definedName name="solver_typ" localSheetId="9" hidden="1">1</definedName>
    <definedName name="solver_typ" localSheetId="8" hidden="1">2</definedName>
    <definedName name="solver_val" localSheetId="6" hidden="1">0</definedName>
    <definedName name="solver_val" localSheetId="7" hidden="1">0</definedName>
    <definedName name="solver_val" localSheetId="3" hidden="1">0</definedName>
    <definedName name="solver_val" localSheetId="9" hidden="1">0</definedName>
    <definedName name="solver_val" localSheetId="8" hidden="1">0</definedName>
    <definedName name="solver_ver" localSheetId="6" hidden="1">3</definedName>
    <definedName name="solver_ver" localSheetId="7" hidden="1">3</definedName>
    <definedName name="solver_ver" localSheetId="3" hidden="1">3</definedName>
    <definedName name="solver_ver" localSheetId="9" hidden="1">3</definedName>
    <definedName name="solver_ver" localSheetId="8" hidden="1">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9" l="1"/>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J27" i="21" l="1"/>
  <c r="E30" i="21" l="1"/>
  <c r="F30" i="21" s="1"/>
  <c r="E31" i="21"/>
  <c r="F31" i="21" s="1"/>
  <c r="E32" i="21"/>
  <c r="F32" i="21" s="1"/>
  <c r="E33" i="21"/>
  <c r="F33" i="21" s="1"/>
  <c r="E34" i="21"/>
  <c r="F34" i="21" s="1"/>
  <c r="E35" i="21"/>
  <c r="F35" i="21" s="1"/>
  <c r="E36" i="21"/>
  <c r="F36" i="21" s="1"/>
  <c r="E37" i="21"/>
  <c r="F37" i="21" s="1"/>
  <c r="E38" i="21"/>
  <c r="F38" i="21" s="1"/>
  <c r="E39" i="21"/>
  <c r="F39" i="21" s="1"/>
  <c r="E40" i="21"/>
  <c r="F40" i="21" s="1"/>
  <c r="E41" i="21"/>
  <c r="F41" i="21" s="1"/>
  <c r="E42" i="21"/>
  <c r="F42" i="21" s="1"/>
  <c r="E43" i="21"/>
  <c r="F43" i="21" s="1"/>
  <c r="E44" i="21"/>
  <c r="F44" i="21" s="1"/>
  <c r="E45" i="21"/>
  <c r="F45" i="21" s="1"/>
  <c r="E46" i="21"/>
  <c r="F46" i="21" s="1"/>
  <c r="E47" i="21"/>
  <c r="F47" i="21" s="1"/>
  <c r="E48" i="21"/>
  <c r="F48" i="21" s="1"/>
  <c r="E29" i="21"/>
  <c r="F29" i="21" s="1"/>
  <c r="L31" i="21" l="1"/>
  <c r="K31" i="21" s="1"/>
  <c r="K32" i="21"/>
  <c r="L32" i="21" s="1"/>
  <c r="O3" i="19"/>
  <c r="O4" i="19"/>
  <c r="O5" i="19"/>
  <c r="O6" i="19"/>
  <c r="O7" i="19"/>
  <c r="O8" i="19"/>
  <c r="O9" i="19"/>
  <c r="O10" i="19"/>
  <c r="O11" i="19"/>
  <c r="O12" i="19"/>
  <c r="O13" i="19"/>
  <c r="O14" i="19"/>
  <c r="O15" i="19"/>
  <c r="O16" i="19"/>
  <c r="O17" i="19"/>
  <c r="O18" i="19"/>
  <c r="O19" i="19"/>
  <c r="O20" i="19"/>
  <c r="O21" i="19"/>
  <c r="O22"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2" i="19"/>
  <c r="S3" i="19" l="1"/>
  <c r="E2" i="19" s="1"/>
  <c r="L3" i="19"/>
  <c r="N3" i="19" s="1"/>
  <c r="L4" i="19"/>
  <c r="N4" i="19" s="1"/>
  <c r="L5" i="19"/>
  <c r="N5" i="19" s="1"/>
  <c r="L6" i="19"/>
  <c r="N6" i="19" s="1"/>
  <c r="L7" i="19"/>
  <c r="N7" i="19" s="1"/>
  <c r="L8" i="19"/>
  <c r="N8" i="19" s="1"/>
  <c r="L9" i="19"/>
  <c r="N9" i="19" s="1"/>
  <c r="L10" i="19"/>
  <c r="N10" i="19" s="1"/>
  <c r="L11" i="19"/>
  <c r="N11" i="19" s="1"/>
  <c r="L12" i="19"/>
  <c r="N12" i="19" s="1"/>
  <c r="L13" i="19"/>
  <c r="N13" i="19" s="1"/>
  <c r="L14" i="19"/>
  <c r="N14" i="19" s="1"/>
  <c r="L15" i="19"/>
  <c r="N15" i="19" s="1"/>
  <c r="L16" i="19"/>
  <c r="N16" i="19" s="1"/>
  <c r="L17" i="19"/>
  <c r="N17" i="19" s="1"/>
  <c r="L2" i="19"/>
  <c r="N2" i="19" s="1"/>
  <c r="K2" i="19"/>
  <c r="M2" i="19" s="1"/>
  <c r="K3" i="19"/>
  <c r="M3" i="19" s="1"/>
  <c r="K4" i="19"/>
  <c r="M4" i="19" s="1"/>
  <c r="K5" i="19"/>
  <c r="M5" i="19" s="1"/>
  <c r="K6" i="19"/>
  <c r="M6" i="19" s="1"/>
  <c r="K7" i="19"/>
  <c r="M7" i="19" s="1"/>
  <c r="K8" i="19"/>
  <c r="M8" i="19" s="1"/>
  <c r="K9" i="19"/>
  <c r="M9" i="19" s="1"/>
  <c r="K10" i="19"/>
  <c r="M10" i="19" s="1"/>
  <c r="K11" i="19"/>
  <c r="M11" i="19" s="1"/>
  <c r="K12" i="19"/>
  <c r="M12" i="19" s="1"/>
  <c r="K13" i="19"/>
  <c r="M13" i="19" s="1"/>
  <c r="K14" i="19"/>
  <c r="M14" i="19" s="1"/>
  <c r="K15" i="19"/>
  <c r="M15" i="19" s="1"/>
  <c r="K16" i="19"/>
  <c r="M16" i="19" s="1"/>
  <c r="K17" i="19"/>
  <c r="M17" i="19" s="1"/>
  <c r="F9" i="17" l="1"/>
  <c r="F8" i="17"/>
  <c r="G7" i="17"/>
  <c r="F7" i="17"/>
  <c r="I3" i="17"/>
  <c r="I4" i="17"/>
  <c r="I5" i="17"/>
  <c r="I6" i="17"/>
  <c r="I2" i="17"/>
  <c r="H3" i="17"/>
  <c r="H4" i="17"/>
  <c r="H5" i="17"/>
  <c r="H6" i="17"/>
  <c r="H2" i="17"/>
  <c r="C63" i="26"/>
  <c r="G11" i="13"/>
  <c r="G12" i="13"/>
  <c r="G13" i="13"/>
  <c r="G14" i="13"/>
  <c r="G15" i="13"/>
  <c r="G16" i="13"/>
  <c r="G17" i="13"/>
  <c r="G18" i="13"/>
  <c r="G19" i="13"/>
  <c r="G20" i="13"/>
  <c r="G21" i="13"/>
  <c r="G22" i="13"/>
  <c r="G23" i="13"/>
  <c r="G24" i="13"/>
  <c r="G25" i="13"/>
  <c r="G26" i="13"/>
  <c r="G27" i="13"/>
  <c r="G28" i="13"/>
  <c r="G29" i="13"/>
  <c r="G10" i="13"/>
  <c r="G6" i="11"/>
  <c r="F10" i="17" l="1"/>
  <c r="K107" i="9"/>
  <c r="K100" i="9"/>
  <c r="K101" i="9"/>
  <c r="K102" i="9"/>
  <c r="K103" i="9"/>
  <c r="K104" i="9"/>
  <c r="K105" i="9"/>
  <c r="K106" i="9"/>
  <c r="K99" i="9"/>
  <c r="E106" i="9"/>
  <c r="E105" i="9"/>
  <c r="E104" i="9"/>
  <c r="E103" i="9"/>
  <c r="E102" i="9"/>
  <c r="E101" i="9"/>
  <c r="E100" i="9"/>
  <c r="E99" i="9"/>
  <c r="I100" i="9"/>
  <c r="I101" i="9"/>
  <c r="I102" i="9"/>
  <c r="I103" i="9"/>
  <c r="I104" i="9"/>
  <c r="I105" i="9"/>
  <c r="I106" i="9"/>
  <c r="I99" i="9"/>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9" i="6"/>
  <c r="C107" i="6"/>
  <c r="Q257" i="26" l="1"/>
  <c r="Q254" i="26"/>
  <c r="Q255" i="26"/>
  <c r="Q256" i="26"/>
  <c r="Q253" i="26"/>
  <c r="Q252" i="26"/>
  <c r="Q251" i="26"/>
  <c r="Q250" i="26"/>
  <c r="Q249" i="26"/>
  <c r="Q248" i="26"/>
  <c r="Q247" i="26"/>
  <c r="Q246" i="26"/>
  <c r="Q245" i="26"/>
  <c r="Q244" i="26"/>
  <c r="Q243" i="26"/>
  <c r="Q242" i="26"/>
  <c r="Q241" i="26"/>
  <c r="Q240" i="26"/>
  <c r="Q239" i="26"/>
  <c r="Q238" i="26"/>
  <c r="Q237" i="26"/>
  <c r="Q236" i="26"/>
  <c r="Q231" i="26"/>
  <c r="Q232" i="26"/>
  <c r="Q233" i="26"/>
  <c r="Q234" i="26"/>
  <c r="Q235" i="26"/>
  <c r="Q230" i="26"/>
  <c r="Q229" i="26"/>
  <c r="Q228" i="26"/>
  <c r="Q210" i="26"/>
  <c r="Q211" i="26"/>
  <c r="Q212" i="26"/>
  <c r="Q213" i="26"/>
  <c r="Q214" i="26"/>
  <c r="Q215" i="26"/>
  <c r="Q216" i="26"/>
  <c r="Q217" i="26"/>
  <c r="Q218" i="26"/>
  <c r="Q219" i="26"/>
  <c r="Q220" i="26"/>
  <c r="Q221" i="26"/>
  <c r="Q222" i="26"/>
  <c r="Q223" i="26"/>
  <c r="Q224" i="26"/>
  <c r="Q225" i="26"/>
  <c r="Q226" i="26"/>
  <c r="Q227" i="26"/>
  <c r="Q209" i="26"/>
  <c r="Q208" i="26"/>
  <c r="Q207" i="26"/>
  <c r="Q206" i="26"/>
  <c r="Q205" i="26"/>
  <c r="Q204" i="26"/>
  <c r="Q203" i="26"/>
  <c r="Q202" i="26"/>
  <c r="Q201" i="26"/>
  <c r="Q137" i="26"/>
  <c r="Q138" i="26"/>
  <c r="Q139" i="26"/>
  <c r="Q140" i="26"/>
  <c r="Q141" i="26"/>
  <c r="Q142" i="26"/>
  <c r="Q143" i="26"/>
  <c r="Q144" i="26"/>
  <c r="Q145" i="26"/>
  <c r="Q146" i="26"/>
  <c r="Q147" i="26"/>
  <c r="Q148" i="26"/>
  <c r="Q149" i="26"/>
  <c r="Q150" i="26"/>
  <c r="Q151" i="26"/>
  <c r="Q152" i="26"/>
  <c r="Q153" i="26"/>
  <c r="Q154" i="26"/>
  <c r="Q155" i="26"/>
  <c r="Q156" i="26"/>
  <c r="Q157" i="26"/>
  <c r="Q158" i="26"/>
  <c r="Q159" i="26"/>
  <c r="Q160" i="26"/>
  <c r="Q161" i="26"/>
  <c r="Q162" i="26"/>
  <c r="Q163" i="26"/>
  <c r="Q164" i="26"/>
  <c r="Q165" i="26"/>
  <c r="Q166" i="26"/>
  <c r="Q167" i="26"/>
  <c r="Q168" i="26"/>
  <c r="Q169" i="26"/>
  <c r="Q170" i="26"/>
  <c r="Q171" i="26"/>
  <c r="Q172" i="26"/>
  <c r="Q173" i="26"/>
  <c r="Q174" i="26"/>
  <c r="Q175" i="26"/>
  <c r="Q176" i="26"/>
  <c r="Q177" i="26"/>
  <c r="Q178" i="26"/>
  <c r="Q179" i="26"/>
  <c r="Q180" i="26"/>
  <c r="Q181" i="26"/>
  <c r="Q182" i="26"/>
  <c r="Q183" i="26"/>
  <c r="Q184" i="26"/>
  <c r="Q185" i="26"/>
  <c r="Q186" i="26"/>
  <c r="Q187" i="26"/>
  <c r="Q188" i="26"/>
  <c r="Q189" i="26"/>
  <c r="Q190" i="26"/>
  <c r="Q191" i="26"/>
  <c r="Q192" i="26"/>
  <c r="Q193" i="26"/>
  <c r="Q194" i="26"/>
  <c r="Q195" i="26"/>
  <c r="Q196" i="26"/>
  <c r="Q197" i="26"/>
  <c r="Q198" i="26"/>
  <c r="Q199" i="26"/>
  <c r="Q200" i="26"/>
  <c r="Q136" i="26"/>
  <c r="Q135" i="26"/>
  <c r="Q71" i="26"/>
  <c r="Q72" i="26"/>
  <c r="Q73" i="26"/>
  <c r="Q74" i="26"/>
  <c r="Q75" i="26"/>
  <c r="Q76" i="26"/>
  <c r="Q77" i="26"/>
  <c r="Q78" i="26"/>
  <c r="Q79" i="26"/>
  <c r="Q80" i="26"/>
  <c r="Q81" i="26"/>
  <c r="Q82" i="26"/>
  <c r="Q83" i="26"/>
  <c r="Q84" i="26"/>
  <c r="Q85" i="26"/>
  <c r="Q86" i="26"/>
  <c r="Q87" i="26"/>
  <c r="Q88" i="26"/>
  <c r="Q89" i="26"/>
  <c r="Q90" i="26"/>
  <c r="Q91" i="26"/>
  <c r="Q92" i="26"/>
  <c r="Q93" i="26"/>
  <c r="Q94" i="26"/>
  <c r="Q95" i="26"/>
  <c r="Q96" i="26"/>
  <c r="Q97" i="26"/>
  <c r="Q98" i="26"/>
  <c r="Q99" i="26"/>
  <c r="Q100" i="26"/>
  <c r="Q101" i="26"/>
  <c r="Q102" i="26"/>
  <c r="Q103" i="26"/>
  <c r="Q104" i="26"/>
  <c r="Q105" i="26"/>
  <c r="Q106" i="26"/>
  <c r="Q107" i="26"/>
  <c r="Q108" i="26"/>
  <c r="Q109" i="26"/>
  <c r="Q110" i="26"/>
  <c r="Q111" i="26"/>
  <c r="Q112" i="26"/>
  <c r="Q113" i="26"/>
  <c r="Q114" i="26"/>
  <c r="Q115" i="26"/>
  <c r="Q116" i="26"/>
  <c r="Q117" i="26"/>
  <c r="Q118" i="26"/>
  <c r="Q119" i="26"/>
  <c r="Q120" i="26"/>
  <c r="Q121" i="26"/>
  <c r="Q122" i="26"/>
  <c r="Q123" i="26"/>
  <c r="Q124" i="26"/>
  <c r="Q125" i="26"/>
  <c r="Q126" i="26"/>
  <c r="Q127" i="26"/>
  <c r="Q128" i="26"/>
  <c r="Q129" i="26"/>
  <c r="Q130" i="26"/>
  <c r="Q131" i="26"/>
  <c r="Q132" i="26"/>
  <c r="Q133" i="26"/>
  <c r="Q134" i="26"/>
  <c r="Q70" i="26"/>
  <c r="Q69" i="26"/>
  <c r="Q68" i="26"/>
  <c r="Q67" i="26"/>
  <c r="Q66" i="26"/>
  <c r="Q63" i="26"/>
  <c r="Q64" i="26"/>
  <c r="Q65" i="26"/>
  <c r="Q62" i="26"/>
  <c r="Q61" i="26"/>
  <c r="Q58" i="26"/>
  <c r="Q59" i="26"/>
  <c r="Q60" i="26"/>
  <c r="Q57" i="26"/>
  <c r="Q50" i="26"/>
  <c r="Q51" i="26"/>
  <c r="Q52" i="26"/>
  <c r="Q53" i="26"/>
  <c r="Q54" i="26"/>
  <c r="Q55" i="26"/>
  <c r="Q56" i="26"/>
  <c r="Q49" i="26"/>
  <c r="Q48" i="26"/>
  <c r="Q47" i="26"/>
  <c r="Q46" i="26"/>
  <c r="Q45" i="26"/>
  <c r="Q44" i="26"/>
  <c r="Q43" i="26"/>
  <c r="Q42" i="26"/>
  <c r="Q41" i="26"/>
  <c r="Q40" i="26"/>
  <c r="Q38" i="26"/>
  <c r="Q39" i="26"/>
  <c r="Q37" i="26"/>
  <c r="Q36" i="26"/>
  <c r="Q35" i="26"/>
  <c r="Q29" i="26"/>
  <c r="Q30" i="26"/>
  <c r="Q31" i="26"/>
  <c r="Q32" i="26"/>
  <c r="Q33" i="26"/>
  <c r="Q34" i="26"/>
  <c r="Q28" i="26"/>
  <c r="Q27" i="26"/>
  <c r="Q17" i="26"/>
  <c r="Q18" i="26"/>
  <c r="Q19" i="26"/>
  <c r="Q20" i="26"/>
  <c r="Q21" i="26"/>
  <c r="Q22" i="26"/>
  <c r="Q23" i="26"/>
  <c r="Q24" i="26"/>
  <c r="Q25" i="26"/>
  <c r="Q26" i="26"/>
  <c r="Q16" i="26"/>
  <c r="Q15" i="26"/>
  <c r="Q14" i="26"/>
  <c r="Q13" i="26"/>
  <c r="Q7" i="26"/>
  <c r="Q8" i="26"/>
  <c r="Q9" i="26"/>
  <c r="Q10" i="26"/>
  <c r="Q11" i="26"/>
  <c r="Q12" i="26"/>
  <c r="Q6" i="26"/>
  <c r="Q5" i="26"/>
  <c r="Q3" i="26"/>
  <c r="Q4" i="26"/>
  <c r="Q2" i="26"/>
  <c r="Q1" i="26"/>
  <c r="F14" i="9"/>
  <c r="B4" i="15" l="1"/>
  <c r="F21" i="29" l="1"/>
  <c r="F20" i="29"/>
  <c r="F19" i="29"/>
  <c r="F18" i="29"/>
  <c r="F17" i="29"/>
  <c r="F16" i="29"/>
  <c r="F15" i="29"/>
  <c r="F14" i="29"/>
  <c r="F13" i="29"/>
  <c r="F12" i="29"/>
  <c r="F11" i="29"/>
  <c r="F10" i="29"/>
  <c r="F9" i="29"/>
  <c r="F8" i="29"/>
  <c r="F7" i="29"/>
  <c r="I5" i="29"/>
  <c r="E21" i="29"/>
  <c r="E20" i="29"/>
  <c r="E19" i="29"/>
  <c r="E18" i="29"/>
  <c r="E17" i="29"/>
  <c r="E16" i="29"/>
  <c r="E15" i="29"/>
  <c r="E14" i="29"/>
  <c r="E13" i="29"/>
  <c r="E12" i="29"/>
  <c r="E11" i="29"/>
  <c r="E10" i="29"/>
  <c r="E9" i="29"/>
  <c r="E8" i="29"/>
  <c r="D8" i="29"/>
  <c r="D9" i="29" s="1"/>
  <c r="D10" i="29" s="1"/>
  <c r="G7" i="29"/>
  <c r="J7" i="29" l="1"/>
  <c r="H7" i="29"/>
  <c r="I7" i="29" s="1"/>
  <c r="D11" i="29"/>
  <c r="G26" i="21"/>
  <c r="F26" i="21"/>
  <c r="G25" i="21"/>
  <c r="F25" i="21"/>
  <c r="G24" i="21"/>
  <c r="F24" i="21"/>
  <c r="G23" i="21"/>
  <c r="F23" i="21"/>
  <c r="G22" i="21"/>
  <c r="F22" i="21"/>
  <c r="G21" i="21"/>
  <c r="F21" i="21"/>
  <c r="G20" i="21"/>
  <c r="F20" i="21"/>
  <c r="G19" i="21"/>
  <c r="F19" i="21"/>
  <c r="G18" i="21"/>
  <c r="F18" i="21"/>
  <c r="G17" i="21"/>
  <c r="F17" i="21"/>
  <c r="G14" i="21"/>
  <c r="F14" i="21"/>
  <c r="G13" i="21"/>
  <c r="F13" i="21"/>
  <c r="G12" i="21"/>
  <c r="F12" i="21"/>
  <c r="G11" i="21"/>
  <c r="F11" i="21"/>
  <c r="G10" i="21"/>
  <c r="F10" i="21"/>
  <c r="G9" i="21"/>
  <c r="F9" i="21"/>
  <c r="G8" i="21"/>
  <c r="F8" i="21"/>
  <c r="G7" i="21"/>
  <c r="F7" i="21"/>
  <c r="G6" i="21"/>
  <c r="F6" i="21"/>
  <c r="G5" i="21"/>
  <c r="F5" i="21"/>
  <c r="F726" i="24"/>
  <c r="G726" i="24" s="1"/>
  <c r="E726" i="24"/>
  <c r="D726" i="24"/>
  <c r="F725" i="24"/>
  <c r="G725" i="24" s="1"/>
  <c r="E725" i="24"/>
  <c r="D725" i="24"/>
  <c r="F724" i="24"/>
  <c r="G724" i="24" s="1"/>
  <c r="E724" i="24"/>
  <c r="D724" i="24"/>
  <c r="F723" i="24"/>
  <c r="G723" i="24" s="1"/>
  <c r="E723" i="24"/>
  <c r="D723" i="24"/>
  <c r="F722" i="24"/>
  <c r="G722" i="24" s="1"/>
  <c r="E722" i="24"/>
  <c r="D722" i="24"/>
  <c r="F721" i="24"/>
  <c r="G721" i="24" s="1"/>
  <c r="E721" i="24"/>
  <c r="D721" i="24"/>
  <c r="F720" i="24"/>
  <c r="G720" i="24" s="1"/>
  <c r="E720" i="24"/>
  <c r="D720" i="24"/>
  <c r="F719" i="24"/>
  <c r="G719" i="24" s="1"/>
  <c r="E719" i="24"/>
  <c r="D719" i="24"/>
  <c r="F718" i="24"/>
  <c r="G718" i="24" s="1"/>
  <c r="E718" i="24"/>
  <c r="D718" i="24"/>
  <c r="F717" i="24"/>
  <c r="G717" i="24" s="1"/>
  <c r="E717" i="24"/>
  <c r="D717" i="24"/>
  <c r="F716" i="24"/>
  <c r="G716" i="24" s="1"/>
  <c r="E716" i="24"/>
  <c r="D716" i="24"/>
  <c r="F715" i="24"/>
  <c r="G715" i="24" s="1"/>
  <c r="E715" i="24"/>
  <c r="D715" i="24"/>
  <c r="F714" i="24"/>
  <c r="G714" i="24" s="1"/>
  <c r="E714" i="24"/>
  <c r="D714" i="24"/>
  <c r="F713" i="24"/>
  <c r="G713" i="24" s="1"/>
  <c r="E713" i="24"/>
  <c r="D713" i="24"/>
  <c r="F712" i="24"/>
  <c r="G712" i="24" s="1"/>
  <c r="E712" i="24"/>
  <c r="D712" i="24"/>
  <c r="F711" i="24"/>
  <c r="G711" i="24" s="1"/>
  <c r="E711" i="24"/>
  <c r="D711" i="24"/>
  <c r="F710" i="24"/>
  <c r="G710" i="24" s="1"/>
  <c r="E710" i="24"/>
  <c r="D710" i="24"/>
  <c r="F709" i="24"/>
  <c r="G709" i="24" s="1"/>
  <c r="E709" i="24"/>
  <c r="D709" i="24"/>
  <c r="F708" i="24"/>
  <c r="G708" i="24" s="1"/>
  <c r="E708" i="24"/>
  <c r="D708" i="24"/>
  <c r="F707" i="24"/>
  <c r="G707" i="24" s="1"/>
  <c r="E707" i="24"/>
  <c r="D707" i="24"/>
  <c r="F706" i="24"/>
  <c r="G706" i="24" s="1"/>
  <c r="E706" i="24"/>
  <c r="D706" i="24"/>
  <c r="F705" i="24"/>
  <c r="G705" i="24" s="1"/>
  <c r="E705" i="24"/>
  <c r="D705" i="24"/>
  <c r="F704" i="24"/>
  <c r="G704" i="24" s="1"/>
  <c r="E704" i="24"/>
  <c r="D704" i="24"/>
  <c r="F703" i="24"/>
  <c r="G703" i="24" s="1"/>
  <c r="E703" i="24"/>
  <c r="D703" i="24"/>
  <c r="F702" i="24"/>
  <c r="G702" i="24" s="1"/>
  <c r="E702" i="24"/>
  <c r="D702" i="24"/>
  <c r="F701" i="24"/>
  <c r="G701" i="24" s="1"/>
  <c r="E701" i="24"/>
  <c r="D701" i="24"/>
  <c r="F700" i="24"/>
  <c r="G700" i="24" s="1"/>
  <c r="E700" i="24"/>
  <c r="D700" i="24"/>
  <c r="F699" i="24"/>
  <c r="G699" i="24" s="1"/>
  <c r="E699" i="24"/>
  <c r="D699" i="24"/>
  <c r="F698" i="24"/>
  <c r="G698" i="24" s="1"/>
  <c r="E698" i="24"/>
  <c r="D698" i="24"/>
  <c r="F697" i="24"/>
  <c r="G697" i="24" s="1"/>
  <c r="E697" i="24"/>
  <c r="D697" i="24"/>
  <c r="F696" i="24"/>
  <c r="G696" i="24" s="1"/>
  <c r="E696" i="24"/>
  <c r="D696" i="24"/>
  <c r="F695" i="24"/>
  <c r="G695" i="24" s="1"/>
  <c r="E695" i="24"/>
  <c r="D695" i="24"/>
  <c r="F694" i="24"/>
  <c r="G694" i="24" s="1"/>
  <c r="E694" i="24"/>
  <c r="D694" i="24"/>
  <c r="F693" i="24"/>
  <c r="G693" i="24" s="1"/>
  <c r="E693" i="24"/>
  <c r="D693" i="24"/>
  <c r="F692" i="24"/>
  <c r="G692" i="24" s="1"/>
  <c r="E692" i="24"/>
  <c r="D692" i="24"/>
  <c r="F691" i="24"/>
  <c r="G691" i="24" s="1"/>
  <c r="E691" i="24"/>
  <c r="D691" i="24"/>
  <c r="F690" i="24"/>
  <c r="G690" i="24" s="1"/>
  <c r="E690" i="24"/>
  <c r="D690" i="24"/>
  <c r="F689" i="24"/>
  <c r="G689" i="24" s="1"/>
  <c r="E689" i="24"/>
  <c r="D689" i="24"/>
  <c r="F688" i="24"/>
  <c r="G688" i="24" s="1"/>
  <c r="E688" i="24"/>
  <c r="D688" i="24"/>
  <c r="F687" i="24"/>
  <c r="G687" i="24" s="1"/>
  <c r="E687" i="24"/>
  <c r="D687" i="24"/>
  <c r="F686" i="24"/>
  <c r="G686" i="24" s="1"/>
  <c r="E686" i="24"/>
  <c r="D686" i="24"/>
  <c r="F685" i="24"/>
  <c r="G685" i="24" s="1"/>
  <c r="E685" i="24"/>
  <c r="D685" i="24"/>
  <c r="F684" i="24"/>
  <c r="G684" i="24" s="1"/>
  <c r="E684" i="24"/>
  <c r="D684" i="24"/>
  <c r="F683" i="24"/>
  <c r="G683" i="24" s="1"/>
  <c r="E683" i="24"/>
  <c r="D683" i="24"/>
  <c r="F682" i="24"/>
  <c r="G682" i="24" s="1"/>
  <c r="E682" i="24"/>
  <c r="D682" i="24"/>
  <c r="F681" i="24"/>
  <c r="G681" i="24" s="1"/>
  <c r="E681" i="24"/>
  <c r="D681" i="24"/>
  <c r="F680" i="24"/>
  <c r="G680" i="24" s="1"/>
  <c r="E680" i="24"/>
  <c r="D680" i="24"/>
  <c r="F679" i="24"/>
  <c r="G679" i="24" s="1"/>
  <c r="E679" i="24"/>
  <c r="D679" i="24"/>
  <c r="F678" i="24"/>
  <c r="G678" i="24" s="1"/>
  <c r="E678" i="24"/>
  <c r="D678" i="24"/>
  <c r="F677" i="24"/>
  <c r="G677" i="24" s="1"/>
  <c r="E677" i="24"/>
  <c r="D677" i="24"/>
  <c r="F676" i="24"/>
  <c r="G676" i="24" s="1"/>
  <c r="E676" i="24"/>
  <c r="D676" i="24"/>
  <c r="F675" i="24"/>
  <c r="G675" i="24" s="1"/>
  <c r="E675" i="24"/>
  <c r="D675" i="24"/>
  <c r="F674" i="24"/>
  <c r="G674" i="24" s="1"/>
  <c r="E674" i="24"/>
  <c r="D674" i="24"/>
  <c r="F673" i="24"/>
  <c r="G673" i="24" s="1"/>
  <c r="E673" i="24"/>
  <c r="D673" i="24"/>
  <c r="F672" i="24"/>
  <c r="G672" i="24" s="1"/>
  <c r="E672" i="24"/>
  <c r="D672" i="24"/>
  <c r="F671" i="24"/>
  <c r="G671" i="24" s="1"/>
  <c r="E671" i="24"/>
  <c r="D671" i="24"/>
  <c r="F670" i="24"/>
  <c r="G670" i="24" s="1"/>
  <c r="E670" i="24"/>
  <c r="D670" i="24"/>
  <c r="F669" i="24"/>
  <c r="G669" i="24" s="1"/>
  <c r="E669" i="24"/>
  <c r="D669" i="24"/>
  <c r="F668" i="24"/>
  <c r="G668" i="24" s="1"/>
  <c r="E668" i="24"/>
  <c r="D668" i="24"/>
  <c r="F667" i="24"/>
  <c r="G667" i="24" s="1"/>
  <c r="E667" i="24"/>
  <c r="D667" i="24"/>
  <c r="F666" i="24"/>
  <c r="G666" i="24" s="1"/>
  <c r="E666" i="24"/>
  <c r="D666" i="24"/>
  <c r="F665" i="24"/>
  <c r="G665" i="24" s="1"/>
  <c r="E665" i="24"/>
  <c r="D665" i="24"/>
  <c r="F664" i="24"/>
  <c r="G664" i="24" s="1"/>
  <c r="E664" i="24"/>
  <c r="D664" i="24"/>
  <c r="F663" i="24"/>
  <c r="G663" i="24" s="1"/>
  <c r="E663" i="24"/>
  <c r="D663" i="24"/>
  <c r="F662" i="24"/>
  <c r="G662" i="24" s="1"/>
  <c r="E662" i="24"/>
  <c r="D662" i="24"/>
  <c r="F661" i="24"/>
  <c r="G661" i="24" s="1"/>
  <c r="E661" i="24"/>
  <c r="D661" i="24"/>
  <c r="F660" i="24"/>
  <c r="G660" i="24" s="1"/>
  <c r="E660" i="24"/>
  <c r="D660" i="24"/>
  <c r="F659" i="24"/>
  <c r="G659" i="24" s="1"/>
  <c r="E659" i="24"/>
  <c r="D659" i="24"/>
  <c r="F658" i="24"/>
  <c r="G658" i="24" s="1"/>
  <c r="E658" i="24"/>
  <c r="D658" i="24"/>
  <c r="F657" i="24"/>
  <c r="G657" i="24" s="1"/>
  <c r="E657" i="24"/>
  <c r="D657" i="24"/>
  <c r="F656" i="24"/>
  <c r="G656" i="24" s="1"/>
  <c r="E656" i="24"/>
  <c r="D656" i="24"/>
  <c r="F655" i="24"/>
  <c r="G655" i="24" s="1"/>
  <c r="E655" i="24"/>
  <c r="D655" i="24"/>
  <c r="F654" i="24"/>
  <c r="G654" i="24" s="1"/>
  <c r="E654" i="24"/>
  <c r="D654" i="24"/>
  <c r="F653" i="24"/>
  <c r="G653" i="24" s="1"/>
  <c r="E653" i="24"/>
  <c r="D653" i="24"/>
  <c r="F652" i="24"/>
  <c r="G652" i="24" s="1"/>
  <c r="E652" i="24"/>
  <c r="D652" i="24"/>
  <c r="F651" i="24"/>
  <c r="G651" i="24" s="1"/>
  <c r="E651" i="24"/>
  <c r="D651" i="24"/>
  <c r="F650" i="24"/>
  <c r="G650" i="24" s="1"/>
  <c r="E650" i="24"/>
  <c r="D650" i="24"/>
  <c r="F649" i="24"/>
  <c r="G649" i="24" s="1"/>
  <c r="E649" i="24"/>
  <c r="D649" i="24"/>
  <c r="F648" i="24"/>
  <c r="G648" i="24" s="1"/>
  <c r="E648" i="24"/>
  <c r="D648" i="24"/>
  <c r="G647" i="24"/>
  <c r="F647" i="24"/>
  <c r="E647" i="24"/>
  <c r="D647" i="24"/>
  <c r="G646" i="24"/>
  <c r="F646" i="24"/>
  <c r="E646" i="24"/>
  <c r="D646" i="24"/>
  <c r="G645" i="24"/>
  <c r="F645" i="24"/>
  <c r="E645" i="24"/>
  <c r="D645" i="24"/>
  <c r="G644" i="24"/>
  <c r="F644" i="24"/>
  <c r="E644" i="24"/>
  <c r="D644" i="24"/>
  <c r="G643" i="24"/>
  <c r="F643" i="24"/>
  <c r="E643" i="24"/>
  <c r="D643" i="24"/>
  <c r="G642" i="24"/>
  <c r="F642" i="24"/>
  <c r="E642" i="24"/>
  <c r="D642" i="24"/>
  <c r="G641" i="24"/>
  <c r="F641" i="24"/>
  <c r="E641" i="24"/>
  <c r="D641" i="24"/>
  <c r="G640" i="24"/>
  <c r="F640" i="24"/>
  <c r="E640" i="24"/>
  <c r="D640" i="24"/>
  <c r="G639" i="24"/>
  <c r="F639" i="24"/>
  <c r="E639" i="24"/>
  <c r="D639" i="24"/>
  <c r="G638" i="24"/>
  <c r="F638" i="24"/>
  <c r="E638" i="24"/>
  <c r="D638" i="24"/>
  <c r="G637" i="24"/>
  <c r="F637" i="24"/>
  <c r="E637" i="24"/>
  <c r="D637" i="24"/>
  <c r="G636" i="24"/>
  <c r="F636" i="24"/>
  <c r="E636" i="24"/>
  <c r="D636" i="24"/>
  <c r="G635" i="24"/>
  <c r="F635" i="24"/>
  <c r="E635" i="24"/>
  <c r="D635" i="24"/>
  <c r="G634" i="24"/>
  <c r="F634" i="24"/>
  <c r="E634" i="24"/>
  <c r="D634" i="24"/>
  <c r="G633" i="24"/>
  <c r="F633" i="24"/>
  <c r="E633" i="24"/>
  <c r="D633" i="24"/>
  <c r="G632" i="24"/>
  <c r="F632" i="24"/>
  <c r="E632" i="24"/>
  <c r="D632" i="24"/>
  <c r="G631" i="24"/>
  <c r="F631" i="24"/>
  <c r="E631" i="24"/>
  <c r="D631" i="24"/>
  <c r="G630" i="24"/>
  <c r="F630" i="24"/>
  <c r="E630" i="24"/>
  <c r="D630" i="24"/>
  <c r="G629" i="24"/>
  <c r="F629" i="24"/>
  <c r="E629" i="24"/>
  <c r="D629" i="24"/>
  <c r="G628" i="24"/>
  <c r="F628" i="24"/>
  <c r="E628" i="24"/>
  <c r="D628" i="24"/>
  <c r="G627" i="24"/>
  <c r="F627" i="24"/>
  <c r="E627" i="24"/>
  <c r="D627" i="24"/>
  <c r="G626" i="24"/>
  <c r="F626" i="24"/>
  <c r="E626" i="24"/>
  <c r="D626" i="24"/>
  <c r="G625" i="24"/>
  <c r="F625" i="24"/>
  <c r="E625" i="24"/>
  <c r="D625" i="24"/>
  <c r="G624" i="24"/>
  <c r="F624" i="24"/>
  <c r="E624" i="24"/>
  <c r="D624" i="24"/>
  <c r="G623" i="24"/>
  <c r="F623" i="24"/>
  <c r="E623" i="24"/>
  <c r="D623" i="24"/>
  <c r="G622" i="24"/>
  <c r="F622" i="24"/>
  <c r="E622" i="24"/>
  <c r="D622" i="24"/>
  <c r="G621" i="24"/>
  <c r="F621" i="24"/>
  <c r="E621" i="24"/>
  <c r="D621" i="24"/>
  <c r="G620" i="24"/>
  <c r="F620" i="24"/>
  <c r="E620" i="24"/>
  <c r="D620" i="24"/>
  <c r="G619" i="24"/>
  <c r="F619" i="24"/>
  <c r="E619" i="24"/>
  <c r="D619" i="24"/>
  <c r="G618" i="24"/>
  <c r="F618" i="24"/>
  <c r="E618" i="24"/>
  <c r="D618" i="24"/>
  <c r="G617" i="24"/>
  <c r="F617" i="24"/>
  <c r="E617" i="24"/>
  <c r="D617" i="24"/>
  <c r="G616" i="24"/>
  <c r="F616" i="24"/>
  <c r="E616" i="24"/>
  <c r="D616" i="24"/>
  <c r="G615" i="24"/>
  <c r="F615" i="24"/>
  <c r="E615" i="24"/>
  <c r="D615" i="24"/>
  <c r="G614" i="24"/>
  <c r="F614" i="24"/>
  <c r="E614" i="24"/>
  <c r="D614" i="24"/>
  <c r="G613" i="24"/>
  <c r="F613" i="24"/>
  <c r="E613" i="24"/>
  <c r="D613" i="24"/>
  <c r="G612" i="24"/>
  <c r="F612" i="24"/>
  <c r="E612" i="24"/>
  <c r="D612" i="24"/>
  <c r="G611" i="24"/>
  <c r="F611" i="24"/>
  <c r="E611" i="24"/>
  <c r="D611" i="24"/>
  <c r="G610" i="24"/>
  <c r="F610" i="24"/>
  <c r="E610" i="24"/>
  <c r="D610" i="24"/>
  <c r="G609" i="24"/>
  <c r="F609" i="24"/>
  <c r="E609" i="24"/>
  <c r="D609" i="24"/>
  <c r="G608" i="24"/>
  <c r="F608" i="24"/>
  <c r="E608" i="24"/>
  <c r="D608" i="24"/>
  <c r="G607" i="24"/>
  <c r="F607" i="24"/>
  <c r="E607" i="24"/>
  <c r="D607" i="24"/>
  <c r="G606" i="24"/>
  <c r="F606" i="24"/>
  <c r="E606" i="24"/>
  <c r="D606" i="24"/>
  <c r="G605" i="24"/>
  <c r="F605" i="24"/>
  <c r="E605" i="24"/>
  <c r="D605" i="24"/>
  <c r="G604" i="24"/>
  <c r="F604" i="24"/>
  <c r="E604" i="24"/>
  <c r="D604" i="24"/>
  <c r="G603" i="24"/>
  <c r="F603" i="24"/>
  <c r="E603" i="24"/>
  <c r="D603" i="24"/>
  <c r="G602" i="24"/>
  <c r="F602" i="24"/>
  <c r="E602" i="24"/>
  <c r="D602" i="24"/>
  <c r="G601" i="24"/>
  <c r="F601" i="24"/>
  <c r="E601" i="24"/>
  <c r="D601" i="24"/>
  <c r="G600" i="24"/>
  <c r="F600" i="24"/>
  <c r="E600" i="24"/>
  <c r="D600" i="24"/>
  <c r="G599" i="24"/>
  <c r="F599" i="24"/>
  <c r="E599" i="24"/>
  <c r="D599" i="24"/>
  <c r="G598" i="24"/>
  <c r="F598" i="24"/>
  <c r="E598" i="24"/>
  <c r="D598" i="24"/>
  <c r="G597" i="24"/>
  <c r="F597" i="24"/>
  <c r="E597" i="24"/>
  <c r="D597" i="24"/>
  <c r="G596" i="24"/>
  <c r="F596" i="24"/>
  <c r="E596" i="24"/>
  <c r="D596" i="24"/>
  <c r="G595" i="24"/>
  <c r="F595" i="24"/>
  <c r="E595" i="24"/>
  <c r="D595" i="24"/>
  <c r="G594" i="24"/>
  <c r="F594" i="24"/>
  <c r="E594" i="24"/>
  <c r="D594" i="24"/>
  <c r="G593" i="24"/>
  <c r="F593" i="24"/>
  <c r="E593" i="24"/>
  <c r="D593" i="24"/>
  <c r="G592" i="24"/>
  <c r="F592" i="24"/>
  <c r="E592" i="24"/>
  <c r="D592" i="24"/>
  <c r="G591" i="24"/>
  <c r="F591" i="24"/>
  <c r="E591" i="24"/>
  <c r="D591" i="24"/>
  <c r="G590" i="24"/>
  <c r="F590" i="24"/>
  <c r="E590" i="24"/>
  <c r="D590" i="24"/>
  <c r="G589" i="24"/>
  <c r="F589" i="24"/>
  <c r="E589" i="24"/>
  <c r="D589" i="24"/>
  <c r="G588" i="24"/>
  <c r="F588" i="24"/>
  <c r="E588" i="24"/>
  <c r="D588" i="24"/>
  <c r="G587" i="24"/>
  <c r="F587" i="24"/>
  <c r="E587" i="24"/>
  <c r="D587" i="24"/>
  <c r="G586" i="24"/>
  <c r="F586" i="24"/>
  <c r="E586" i="24"/>
  <c r="D586" i="24"/>
  <c r="G585" i="24"/>
  <c r="F585" i="24"/>
  <c r="E585" i="24"/>
  <c r="D585" i="24"/>
  <c r="G584" i="24"/>
  <c r="F584" i="24"/>
  <c r="E584" i="24"/>
  <c r="D584" i="24"/>
  <c r="G583" i="24"/>
  <c r="F583" i="24"/>
  <c r="E583" i="24"/>
  <c r="D583" i="24"/>
  <c r="G582" i="24"/>
  <c r="F582" i="24"/>
  <c r="E582" i="24"/>
  <c r="D582" i="24"/>
  <c r="G581" i="24"/>
  <c r="F581" i="24"/>
  <c r="E581" i="24"/>
  <c r="D581" i="24"/>
  <c r="G580" i="24"/>
  <c r="F580" i="24"/>
  <c r="E580" i="24"/>
  <c r="D580" i="24"/>
  <c r="G579" i="24"/>
  <c r="F579" i="24"/>
  <c r="E579" i="24"/>
  <c r="D579" i="24"/>
  <c r="G578" i="24"/>
  <c r="F578" i="24"/>
  <c r="E578" i="24"/>
  <c r="D578" i="24"/>
  <c r="G577" i="24"/>
  <c r="F577" i="24"/>
  <c r="E577" i="24"/>
  <c r="D577" i="24"/>
  <c r="G576" i="24"/>
  <c r="F576" i="24"/>
  <c r="E576" i="24"/>
  <c r="D576" i="24"/>
  <c r="G575" i="24"/>
  <c r="F575" i="24"/>
  <c r="E575" i="24"/>
  <c r="D575" i="24"/>
  <c r="G574" i="24"/>
  <c r="F574" i="24"/>
  <c r="E574" i="24"/>
  <c r="D574" i="24"/>
  <c r="G573" i="24"/>
  <c r="F573" i="24"/>
  <c r="E573" i="24"/>
  <c r="D573" i="24"/>
  <c r="G572" i="24"/>
  <c r="F572" i="24"/>
  <c r="E572" i="24"/>
  <c r="D572" i="24"/>
  <c r="G571" i="24"/>
  <c r="F571" i="24"/>
  <c r="E571" i="24"/>
  <c r="D571" i="24"/>
  <c r="G570" i="24"/>
  <c r="F570" i="24"/>
  <c r="E570" i="24"/>
  <c r="D570" i="24"/>
  <c r="G569" i="24"/>
  <c r="F569" i="24"/>
  <c r="E569" i="24"/>
  <c r="D569" i="24"/>
  <c r="G568" i="24"/>
  <c r="F568" i="24"/>
  <c r="E568" i="24"/>
  <c r="D568" i="24"/>
  <c r="G567" i="24"/>
  <c r="F567" i="24"/>
  <c r="E567" i="24"/>
  <c r="D567" i="24"/>
  <c r="G566" i="24"/>
  <c r="F566" i="24"/>
  <c r="E566" i="24"/>
  <c r="D566" i="24"/>
  <c r="G565" i="24"/>
  <c r="F565" i="24"/>
  <c r="E565" i="24"/>
  <c r="D565" i="24"/>
  <c r="G564" i="24"/>
  <c r="F564" i="24"/>
  <c r="E564" i="24"/>
  <c r="D564" i="24"/>
  <c r="G563" i="24"/>
  <c r="F563" i="24"/>
  <c r="E563" i="24"/>
  <c r="D563" i="24"/>
  <c r="G562" i="24"/>
  <c r="F562" i="24"/>
  <c r="E562" i="24"/>
  <c r="D562" i="24"/>
  <c r="G561" i="24"/>
  <c r="F561" i="24"/>
  <c r="E561" i="24"/>
  <c r="D561" i="24"/>
  <c r="G560" i="24"/>
  <c r="F560" i="24"/>
  <c r="E560" i="24"/>
  <c r="D560" i="24"/>
  <c r="G559" i="24"/>
  <c r="F559" i="24"/>
  <c r="E559" i="24"/>
  <c r="D559" i="24"/>
  <c r="G558" i="24"/>
  <c r="F558" i="24"/>
  <c r="E558" i="24"/>
  <c r="D558" i="24"/>
  <c r="G557" i="24"/>
  <c r="F557" i="24"/>
  <c r="E557" i="24"/>
  <c r="D557" i="24"/>
  <c r="G556" i="24"/>
  <c r="F556" i="24"/>
  <c r="E556" i="24"/>
  <c r="D556" i="24"/>
  <c r="G555" i="24"/>
  <c r="F555" i="24"/>
  <c r="E555" i="24"/>
  <c r="D555" i="24"/>
  <c r="G554" i="24"/>
  <c r="F554" i="24"/>
  <c r="E554" i="24"/>
  <c r="D554" i="24"/>
  <c r="G553" i="24"/>
  <c r="F553" i="24"/>
  <c r="E553" i="24"/>
  <c r="D553" i="24"/>
  <c r="G552" i="24"/>
  <c r="F552" i="24"/>
  <c r="E552" i="24"/>
  <c r="D552" i="24"/>
  <c r="G551" i="24"/>
  <c r="F551" i="24"/>
  <c r="E551" i="24"/>
  <c r="D551" i="24"/>
  <c r="G550" i="24"/>
  <c r="F550" i="24"/>
  <c r="E550" i="24"/>
  <c r="D550" i="24"/>
  <c r="G549" i="24"/>
  <c r="F549" i="24"/>
  <c r="E549" i="24"/>
  <c r="D549" i="24"/>
  <c r="G548" i="24"/>
  <c r="F548" i="24"/>
  <c r="E548" i="24"/>
  <c r="D548" i="24"/>
  <c r="G547" i="24"/>
  <c r="F547" i="24"/>
  <c r="E547" i="24"/>
  <c r="D547" i="24"/>
  <c r="G546" i="24"/>
  <c r="F546" i="24"/>
  <c r="E546" i="24"/>
  <c r="D546" i="24"/>
  <c r="G545" i="24"/>
  <c r="F545" i="24"/>
  <c r="E545" i="24"/>
  <c r="D545" i="24"/>
  <c r="G544" i="24"/>
  <c r="F544" i="24"/>
  <c r="E544" i="24"/>
  <c r="D544" i="24"/>
  <c r="G543" i="24"/>
  <c r="F543" i="24"/>
  <c r="E543" i="24"/>
  <c r="D543" i="24"/>
  <c r="G542" i="24"/>
  <c r="F542" i="24"/>
  <c r="E542" i="24"/>
  <c r="D542" i="24"/>
  <c r="G541" i="24"/>
  <c r="F541" i="24"/>
  <c r="E541" i="24"/>
  <c r="D541" i="24"/>
  <c r="G540" i="24"/>
  <c r="F540" i="24"/>
  <c r="E540" i="24"/>
  <c r="D540" i="24"/>
  <c r="G539" i="24"/>
  <c r="F539" i="24"/>
  <c r="E539" i="24"/>
  <c r="D539" i="24"/>
  <c r="G538" i="24"/>
  <c r="F538" i="24"/>
  <c r="E538" i="24"/>
  <c r="D538" i="24"/>
  <c r="G537" i="24"/>
  <c r="F537" i="24"/>
  <c r="E537" i="24"/>
  <c r="D537" i="24"/>
  <c r="G536" i="24"/>
  <c r="F536" i="24"/>
  <c r="E536" i="24"/>
  <c r="D536" i="24"/>
  <c r="G535" i="24"/>
  <c r="F535" i="24"/>
  <c r="E535" i="24"/>
  <c r="D535" i="24"/>
  <c r="G534" i="24"/>
  <c r="F534" i="24"/>
  <c r="E534" i="24"/>
  <c r="D534" i="24"/>
  <c r="G533" i="24"/>
  <c r="F533" i="24"/>
  <c r="E533" i="24"/>
  <c r="D533" i="24"/>
  <c r="G532" i="24"/>
  <c r="F532" i="24"/>
  <c r="E532" i="24"/>
  <c r="D532" i="24"/>
  <c r="G531" i="24"/>
  <c r="F531" i="24"/>
  <c r="E531" i="24"/>
  <c r="D531" i="24"/>
  <c r="G530" i="24"/>
  <c r="F530" i="24"/>
  <c r="E530" i="24"/>
  <c r="D530" i="24"/>
  <c r="G529" i="24"/>
  <c r="F529" i="24"/>
  <c r="E529" i="24"/>
  <c r="D529" i="24"/>
  <c r="G528" i="24"/>
  <c r="F528" i="24"/>
  <c r="E528" i="24"/>
  <c r="D528" i="24"/>
  <c r="G527" i="24"/>
  <c r="F527" i="24"/>
  <c r="E527" i="24"/>
  <c r="D527" i="24"/>
  <c r="G526" i="24"/>
  <c r="F526" i="24"/>
  <c r="E526" i="24"/>
  <c r="D526" i="24"/>
  <c r="G525" i="24"/>
  <c r="F525" i="24"/>
  <c r="E525" i="24"/>
  <c r="D525" i="24"/>
  <c r="G524" i="24"/>
  <c r="F524" i="24"/>
  <c r="E524" i="24"/>
  <c r="D524" i="24"/>
  <c r="G523" i="24"/>
  <c r="F523" i="24"/>
  <c r="E523" i="24"/>
  <c r="D523" i="24"/>
  <c r="G522" i="24"/>
  <c r="F522" i="24"/>
  <c r="E522" i="24"/>
  <c r="D522" i="24"/>
  <c r="G521" i="24"/>
  <c r="F521" i="24"/>
  <c r="E521" i="24"/>
  <c r="D521" i="24"/>
  <c r="G520" i="24"/>
  <c r="F520" i="24"/>
  <c r="E520" i="24"/>
  <c r="D520" i="24"/>
  <c r="G519" i="24"/>
  <c r="F519" i="24"/>
  <c r="E519" i="24"/>
  <c r="D519" i="24"/>
  <c r="G518" i="24"/>
  <c r="F518" i="24"/>
  <c r="E518" i="24"/>
  <c r="D518" i="24"/>
  <c r="G517" i="24"/>
  <c r="F517" i="24"/>
  <c r="E517" i="24"/>
  <c r="D517" i="24"/>
  <c r="G516" i="24"/>
  <c r="F516" i="24"/>
  <c r="E516" i="24"/>
  <c r="D516" i="24"/>
  <c r="G515" i="24"/>
  <c r="F515" i="24"/>
  <c r="E515" i="24"/>
  <c r="D515" i="24"/>
  <c r="G514" i="24"/>
  <c r="F514" i="24"/>
  <c r="E514" i="24"/>
  <c r="D514" i="24"/>
  <c r="G513" i="24"/>
  <c r="F513" i="24"/>
  <c r="E513" i="24"/>
  <c r="D513" i="24"/>
  <c r="G512" i="24"/>
  <c r="F512" i="24"/>
  <c r="E512" i="24"/>
  <c r="D512" i="24"/>
  <c r="G511" i="24"/>
  <c r="F511" i="24"/>
  <c r="E511" i="24"/>
  <c r="D511" i="24"/>
  <c r="G510" i="24"/>
  <c r="F510" i="24"/>
  <c r="E510" i="24"/>
  <c r="D510" i="24"/>
  <c r="G509" i="24"/>
  <c r="F509" i="24"/>
  <c r="E509" i="24"/>
  <c r="D509" i="24"/>
  <c r="G508" i="24"/>
  <c r="F508" i="24"/>
  <c r="E508" i="24"/>
  <c r="D508" i="24"/>
  <c r="G507" i="24"/>
  <c r="F507" i="24"/>
  <c r="E507" i="24"/>
  <c r="D507" i="24"/>
  <c r="G506" i="24"/>
  <c r="F506" i="24"/>
  <c r="E506" i="24"/>
  <c r="D506" i="24"/>
  <c r="G505" i="24"/>
  <c r="F505" i="24"/>
  <c r="E505" i="24"/>
  <c r="D505" i="24"/>
  <c r="G504" i="24"/>
  <c r="F504" i="24"/>
  <c r="E504" i="24"/>
  <c r="D504" i="24"/>
  <c r="G503" i="24"/>
  <c r="F503" i="24"/>
  <c r="E503" i="24"/>
  <c r="D503" i="24"/>
  <c r="G502" i="24"/>
  <c r="F502" i="24"/>
  <c r="E502" i="24"/>
  <c r="D502" i="24"/>
  <c r="G501" i="24"/>
  <c r="F501" i="24"/>
  <c r="E501" i="24"/>
  <c r="D501" i="24"/>
  <c r="G500" i="24"/>
  <c r="F500" i="24"/>
  <c r="E500" i="24"/>
  <c r="D500" i="24"/>
  <c r="G499" i="24"/>
  <c r="F499" i="24"/>
  <c r="E499" i="24"/>
  <c r="D499" i="24"/>
  <c r="G498" i="24"/>
  <c r="F498" i="24"/>
  <c r="E498" i="24"/>
  <c r="D498" i="24"/>
  <c r="G497" i="24"/>
  <c r="F497" i="24"/>
  <c r="E497" i="24"/>
  <c r="D497" i="24"/>
  <c r="G496" i="24"/>
  <c r="F496" i="24"/>
  <c r="E496" i="24"/>
  <c r="D496" i="24"/>
  <c r="G495" i="24"/>
  <c r="F495" i="24"/>
  <c r="E495" i="24"/>
  <c r="D495" i="24"/>
  <c r="G494" i="24"/>
  <c r="F494" i="24"/>
  <c r="E494" i="24"/>
  <c r="D494" i="24"/>
  <c r="G493" i="24"/>
  <c r="F493" i="24"/>
  <c r="E493" i="24"/>
  <c r="D493" i="24"/>
  <c r="G492" i="24"/>
  <c r="F492" i="24"/>
  <c r="E492" i="24"/>
  <c r="D492" i="24"/>
  <c r="G491" i="24"/>
  <c r="F491" i="24"/>
  <c r="E491" i="24"/>
  <c r="D491" i="24"/>
  <c r="G490" i="24"/>
  <c r="F490" i="24"/>
  <c r="E490" i="24"/>
  <c r="D490" i="24"/>
  <c r="G489" i="24"/>
  <c r="F489" i="24"/>
  <c r="E489" i="24"/>
  <c r="D489" i="24"/>
  <c r="G488" i="24"/>
  <c r="F488" i="24"/>
  <c r="E488" i="24"/>
  <c r="D488" i="24"/>
  <c r="G487" i="24"/>
  <c r="F487" i="24"/>
  <c r="E487" i="24"/>
  <c r="D487" i="24"/>
  <c r="G486" i="24"/>
  <c r="F486" i="24"/>
  <c r="E486" i="24"/>
  <c r="D486" i="24"/>
  <c r="G485" i="24"/>
  <c r="F485" i="24"/>
  <c r="E485" i="24"/>
  <c r="D485" i="24"/>
  <c r="G484" i="24"/>
  <c r="F484" i="24"/>
  <c r="E484" i="24"/>
  <c r="D484" i="24"/>
  <c r="G483" i="24"/>
  <c r="F483" i="24"/>
  <c r="E483" i="24"/>
  <c r="D483" i="24"/>
  <c r="G482" i="24"/>
  <c r="F482" i="24"/>
  <c r="E482" i="24"/>
  <c r="D482" i="24"/>
  <c r="G481" i="24"/>
  <c r="F481" i="24"/>
  <c r="E481" i="24"/>
  <c r="D481" i="24"/>
  <c r="G480" i="24"/>
  <c r="F480" i="24"/>
  <c r="E480" i="24"/>
  <c r="D480" i="24"/>
  <c r="G479" i="24"/>
  <c r="F479" i="24"/>
  <c r="E479" i="24"/>
  <c r="D479" i="24"/>
  <c r="G478" i="24"/>
  <c r="F478" i="24"/>
  <c r="E478" i="24"/>
  <c r="D478" i="24"/>
  <c r="G477" i="24"/>
  <c r="F477" i="24"/>
  <c r="E477" i="24"/>
  <c r="D477" i="24"/>
  <c r="G476" i="24"/>
  <c r="F476" i="24"/>
  <c r="E476" i="24"/>
  <c r="D476" i="24"/>
  <c r="G475" i="24"/>
  <c r="F475" i="24"/>
  <c r="E475" i="24"/>
  <c r="D475" i="24"/>
  <c r="G474" i="24"/>
  <c r="F474" i="24"/>
  <c r="E474" i="24"/>
  <c r="D474" i="24"/>
  <c r="G473" i="24"/>
  <c r="F473" i="24"/>
  <c r="E473" i="24"/>
  <c r="D473" i="24"/>
  <c r="G472" i="24"/>
  <c r="F472" i="24"/>
  <c r="E472" i="24"/>
  <c r="D472" i="24"/>
  <c r="G471" i="24"/>
  <c r="F471" i="24"/>
  <c r="E471" i="24"/>
  <c r="D471" i="24"/>
  <c r="G470" i="24"/>
  <c r="F470" i="24"/>
  <c r="E470" i="24"/>
  <c r="D470" i="24"/>
  <c r="G469" i="24"/>
  <c r="F469" i="24"/>
  <c r="E469" i="24"/>
  <c r="D469" i="24"/>
  <c r="G468" i="24"/>
  <c r="F468" i="24"/>
  <c r="E468" i="24"/>
  <c r="D468" i="24"/>
  <c r="G467" i="24"/>
  <c r="F467" i="24"/>
  <c r="E467" i="24"/>
  <c r="D467" i="24"/>
  <c r="G466" i="24"/>
  <c r="F466" i="24"/>
  <c r="E466" i="24"/>
  <c r="D466" i="24"/>
  <c r="G465" i="24"/>
  <c r="F465" i="24"/>
  <c r="E465" i="24"/>
  <c r="D465" i="24"/>
  <c r="G464" i="24"/>
  <c r="F464" i="24"/>
  <c r="E464" i="24"/>
  <c r="D464" i="24"/>
  <c r="G463" i="24"/>
  <c r="F463" i="24"/>
  <c r="E463" i="24"/>
  <c r="D463" i="24"/>
  <c r="G462" i="24"/>
  <c r="F462" i="24"/>
  <c r="E462" i="24"/>
  <c r="D462" i="24"/>
  <c r="G461" i="24"/>
  <c r="F461" i="24"/>
  <c r="E461" i="24"/>
  <c r="D461" i="24"/>
  <c r="G460" i="24"/>
  <c r="F460" i="24"/>
  <c r="E460" i="24"/>
  <c r="D460" i="24"/>
  <c r="G459" i="24"/>
  <c r="F459" i="24"/>
  <c r="E459" i="24"/>
  <c r="D459" i="24"/>
  <c r="G458" i="24"/>
  <c r="F458" i="24"/>
  <c r="E458" i="24"/>
  <c r="D458" i="24"/>
  <c r="G457" i="24"/>
  <c r="F457" i="24"/>
  <c r="E457" i="24"/>
  <c r="D457" i="24"/>
  <c r="G456" i="24"/>
  <c r="F456" i="24"/>
  <c r="E456" i="24"/>
  <c r="D456" i="24"/>
  <c r="G455" i="24"/>
  <c r="F455" i="24"/>
  <c r="E455" i="24"/>
  <c r="D455" i="24"/>
  <c r="G454" i="24"/>
  <c r="F454" i="24"/>
  <c r="E454" i="24"/>
  <c r="D454" i="24"/>
  <c r="G453" i="24"/>
  <c r="F453" i="24"/>
  <c r="E453" i="24"/>
  <c r="D453" i="24"/>
  <c r="G452" i="24"/>
  <c r="F452" i="24"/>
  <c r="E452" i="24"/>
  <c r="D452" i="24"/>
  <c r="G451" i="24"/>
  <c r="F451" i="24"/>
  <c r="E451" i="24"/>
  <c r="D451" i="24"/>
  <c r="G450" i="24"/>
  <c r="F450" i="24"/>
  <c r="E450" i="24"/>
  <c r="D450" i="24"/>
  <c r="G449" i="24"/>
  <c r="F449" i="24"/>
  <c r="E449" i="24"/>
  <c r="D449" i="24"/>
  <c r="G448" i="24"/>
  <c r="F448" i="24"/>
  <c r="E448" i="24"/>
  <c r="D448" i="24"/>
  <c r="G447" i="24"/>
  <c r="F447" i="24"/>
  <c r="E447" i="24"/>
  <c r="D447" i="24"/>
  <c r="G446" i="24"/>
  <c r="F446" i="24"/>
  <c r="E446" i="24"/>
  <c r="D446" i="24"/>
  <c r="G445" i="24"/>
  <c r="F445" i="24"/>
  <c r="E445" i="24"/>
  <c r="D445" i="24"/>
  <c r="G444" i="24"/>
  <c r="F444" i="24"/>
  <c r="E444" i="24"/>
  <c r="D444" i="24"/>
  <c r="G443" i="24"/>
  <c r="F443" i="24"/>
  <c r="E443" i="24"/>
  <c r="D443" i="24"/>
  <c r="G442" i="24"/>
  <c r="F442" i="24"/>
  <c r="E442" i="24"/>
  <c r="D442" i="24"/>
  <c r="G441" i="24"/>
  <c r="F441" i="24"/>
  <c r="E441" i="24"/>
  <c r="D441" i="24"/>
  <c r="G440" i="24"/>
  <c r="F440" i="24"/>
  <c r="E440" i="24"/>
  <c r="D440" i="24"/>
  <c r="G439" i="24"/>
  <c r="F439" i="24"/>
  <c r="E439" i="24"/>
  <c r="D439" i="24"/>
  <c r="G438" i="24"/>
  <c r="F438" i="24"/>
  <c r="E438" i="24"/>
  <c r="D438" i="24"/>
  <c r="G437" i="24"/>
  <c r="F437" i="24"/>
  <c r="E437" i="24"/>
  <c r="D437" i="24"/>
  <c r="G436" i="24"/>
  <c r="F436" i="24"/>
  <c r="E436" i="24"/>
  <c r="D436" i="24"/>
  <c r="G435" i="24"/>
  <c r="F435" i="24"/>
  <c r="E435" i="24"/>
  <c r="D435" i="24"/>
  <c r="G434" i="24"/>
  <c r="F434" i="24"/>
  <c r="E434" i="24"/>
  <c r="D434" i="24"/>
  <c r="G433" i="24"/>
  <c r="F433" i="24"/>
  <c r="E433" i="24"/>
  <c r="D433" i="24"/>
  <c r="G432" i="24"/>
  <c r="F432" i="24"/>
  <c r="E432" i="24"/>
  <c r="D432" i="24"/>
  <c r="G431" i="24"/>
  <c r="F431" i="24"/>
  <c r="E431" i="24"/>
  <c r="D431" i="24"/>
  <c r="G430" i="24"/>
  <c r="F430" i="24"/>
  <c r="E430" i="24"/>
  <c r="D430" i="24"/>
  <c r="G429" i="24"/>
  <c r="F429" i="24"/>
  <c r="E429" i="24"/>
  <c r="D429" i="24"/>
  <c r="G428" i="24"/>
  <c r="F428" i="24"/>
  <c r="E428" i="24"/>
  <c r="D428" i="24"/>
  <c r="G427" i="24"/>
  <c r="F427" i="24"/>
  <c r="E427" i="24"/>
  <c r="D427" i="24"/>
  <c r="G426" i="24"/>
  <c r="F426" i="24"/>
  <c r="E426" i="24"/>
  <c r="D426" i="24"/>
  <c r="G425" i="24"/>
  <c r="F425" i="24"/>
  <c r="E425" i="24"/>
  <c r="D425" i="24"/>
  <c r="G424" i="24"/>
  <c r="F424" i="24"/>
  <c r="E424" i="24"/>
  <c r="D424" i="24"/>
  <c r="G423" i="24"/>
  <c r="F423" i="24"/>
  <c r="E423" i="24"/>
  <c r="D423" i="24"/>
  <c r="G422" i="24"/>
  <c r="F422" i="24"/>
  <c r="E422" i="24"/>
  <c r="D422" i="24"/>
  <c r="G421" i="24"/>
  <c r="F421" i="24"/>
  <c r="E421" i="24"/>
  <c r="D421" i="24"/>
  <c r="G420" i="24"/>
  <c r="F420" i="24"/>
  <c r="E420" i="24"/>
  <c r="D420" i="24"/>
  <c r="G419" i="24"/>
  <c r="F419" i="24"/>
  <c r="E419" i="24"/>
  <c r="D419" i="24"/>
  <c r="G418" i="24"/>
  <c r="F418" i="24"/>
  <c r="E418" i="24"/>
  <c r="D418" i="24"/>
  <c r="G417" i="24"/>
  <c r="F417" i="24"/>
  <c r="E417" i="24"/>
  <c r="D417" i="24"/>
  <c r="G416" i="24"/>
  <c r="F416" i="24"/>
  <c r="E416" i="24"/>
  <c r="D416" i="24"/>
  <c r="G415" i="24"/>
  <c r="F415" i="24"/>
  <c r="E415" i="24"/>
  <c r="D415" i="24"/>
  <c r="G414" i="24"/>
  <c r="F414" i="24"/>
  <c r="E414" i="24"/>
  <c r="D414" i="24"/>
  <c r="G413" i="24"/>
  <c r="F413" i="24"/>
  <c r="E413" i="24"/>
  <c r="D413" i="24"/>
  <c r="G412" i="24"/>
  <c r="F412" i="24"/>
  <c r="E412" i="24"/>
  <c r="D412" i="24"/>
  <c r="G411" i="24"/>
  <c r="F411" i="24"/>
  <c r="E411" i="24"/>
  <c r="D411" i="24"/>
  <c r="G410" i="24"/>
  <c r="F410" i="24"/>
  <c r="E410" i="24"/>
  <c r="D410" i="24"/>
  <c r="G409" i="24"/>
  <c r="F409" i="24"/>
  <c r="E409" i="24"/>
  <c r="D409" i="24"/>
  <c r="G408" i="24"/>
  <c r="F408" i="24"/>
  <c r="E408" i="24"/>
  <c r="D408" i="24"/>
  <c r="G407" i="24"/>
  <c r="F407" i="24"/>
  <c r="E407" i="24"/>
  <c r="D407" i="24"/>
  <c r="G406" i="24"/>
  <c r="F406" i="24"/>
  <c r="E406" i="24"/>
  <c r="D406" i="24"/>
  <c r="G405" i="24"/>
  <c r="F405" i="24"/>
  <c r="E405" i="24"/>
  <c r="D405" i="24"/>
  <c r="G404" i="24"/>
  <c r="F404" i="24"/>
  <c r="E404" i="24"/>
  <c r="D404" i="24"/>
  <c r="G403" i="24"/>
  <c r="F403" i="24"/>
  <c r="E403" i="24"/>
  <c r="D403" i="24"/>
  <c r="G402" i="24"/>
  <c r="F402" i="24"/>
  <c r="E402" i="24"/>
  <c r="D402" i="24"/>
  <c r="G401" i="24"/>
  <c r="F401" i="24"/>
  <c r="E401" i="24"/>
  <c r="D401" i="24"/>
  <c r="G400" i="24"/>
  <c r="F400" i="24"/>
  <c r="E400" i="24"/>
  <c r="D400" i="24"/>
  <c r="G399" i="24"/>
  <c r="F399" i="24"/>
  <c r="E399" i="24"/>
  <c r="D399" i="24"/>
  <c r="G398" i="24"/>
  <c r="F398" i="24"/>
  <c r="E398" i="24"/>
  <c r="D398" i="24"/>
  <c r="G397" i="24"/>
  <c r="F397" i="24"/>
  <c r="E397" i="24"/>
  <c r="D397" i="24"/>
  <c r="G396" i="24"/>
  <c r="F396" i="24"/>
  <c r="E396" i="24"/>
  <c r="D396" i="24"/>
  <c r="G395" i="24"/>
  <c r="F395" i="24"/>
  <c r="E395" i="24"/>
  <c r="D395" i="24"/>
  <c r="G394" i="24"/>
  <c r="F394" i="24"/>
  <c r="E394" i="24"/>
  <c r="D394" i="24"/>
  <c r="G393" i="24"/>
  <c r="F393" i="24"/>
  <c r="E393" i="24"/>
  <c r="D393" i="24"/>
  <c r="G392" i="24"/>
  <c r="F392" i="24"/>
  <c r="E392" i="24"/>
  <c r="D392" i="24"/>
  <c r="G391" i="24"/>
  <c r="F391" i="24"/>
  <c r="E391" i="24"/>
  <c r="D391" i="24"/>
  <c r="G390" i="24"/>
  <c r="F390" i="24"/>
  <c r="E390" i="24"/>
  <c r="D390" i="24"/>
  <c r="G389" i="24"/>
  <c r="F389" i="24"/>
  <c r="E389" i="24"/>
  <c r="D389" i="24"/>
  <c r="G388" i="24"/>
  <c r="F388" i="24"/>
  <c r="E388" i="24"/>
  <c r="D388" i="24"/>
  <c r="G387" i="24"/>
  <c r="F387" i="24"/>
  <c r="E387" i="24"/>
  <c r="D387" i="24"/>
  <c r="G386" i="24"/>
  <c r="F386" i="24"/>
  <c r="E386" i="24"/>
  <c r="D386" i="24"/>
  <c r="G385" i="24"/>
  <c r="F385" i="24"/>
  <c r="E385" i="24"/>
  <c r="D385" i="24"/>
  <c r="G384" i="24"/>
  <c r="F384" i="24"/>
  <c r="E384" i="24"/>
  <c r="D384" i="24"/>
  <c r="G383" i="24"/>
  <c r="F383" i="24"/>
  <c r="E383" i="24"/>
  <c r="D383" i="24"/>
  <c r="G382" i="24"/>
  <c r="F382" i="24"/>
  <c r="E382" i="24"/>
  <c r="D382" i="24"/>
  <c r="G381" i="24"/>
  <c r="F381" i="24"/>
  <c r="E381" i="24"/>
  <c r="D381" i="24"/>
  <c r="G380" i="24"/>
  <c r="F380" i="24"/>
  <c r="E380" i="24"/>
  <c r="D380" i="24"/>
  <c r="G379" i="24"/>
  <c r="F379" i="24"/>
  <c r="E379" i="24"/>
  <c r="D379" i="24"/>
  <c r="G378" i="24"/>
  <c r="F378" i="24"/>
  <c r="E378" i="24"/>
  <c r="D378" i="24"/>
  <c r="G377" i="24"/>
  <c r="F377" i="24"/>
  <c r="E377" i="24"/>
  <c r="D377" i="24"/>
  <c r="G376" i="24"/>
  <c r="F376" i="24"/>
  <c r="E376" i="24"/>
  <c r="D376" i="24"/>
  <c r="G375" i="24"/>
  <c r="F375" i="24"/>
  <c r="E375" i="24"/>
  <c r="D375" i="24"/>
  <c r="G374" i="24"/>
  <c r="F374" i="24"/>
  <c r="E374" i="24"/>
  <c r="D374" i="24"/>
  <c r="G373" i="24"/>
  <c r="F373" i="24"/>
  <c r="E373" i="24"/>
  <c r="D373" i="24"/>
  <c r="G372" i="24"/>
  <c r="F372" i="24"/>
  <c r="E372" i="24"/>
  <c r="D372" i="24"/>
  <c r="G371" i="24"/>
  <c r="F371" i="24"/>
  <c r="E371" i="24"/>
  <c r="D371" i="24"/>
  <c r="G370" i="24"/>
  <c r="F370" i="24"/>
  <c r="E370" i="24"/>
  <c r="D370" i="24"/>
  <c r="G369" i="24"/>
  <c r="F369" i="24"/>
  <c r="E369" i="24"/>
  <c r="D369" i="24"/>
  <c r="G368" i="24"/>
  <c r="F368" i="24"/>
  <c r="E368" i="24"/>
  <c r="D368" i="24"/>
  <c r="G367" i="24"/>
  <c r="F367" i="24"/>
  <c r="E367" i="24"/>
  <c r="D367" i="24"/>
  <c r="G366" i="24"/>
  <c r="F366" i="24"/>
  <c r="E366" i="24"/>
  <c r="D366" i="24"/>
  <c r="G365" i="24"/>
  <c r="F365" i="24"/>
  <c r="E365" i="24"/>
  <c r="D365" i="24"/>
  <c r="G364" i="24"/>
  <c r="F364" i="24"/>
  <c r="E364" i="24"/>
  <c r="D364" i="24"/>
  <c r="G363" i="24"/>
  <c r="F363" i="24"/>
  <c r="E363" i="24"/>
  <c r="D363" i="24"/>
  <c r="G362" i="24"/>
  <c r="F362" i="24"/>
  <c r="E362" i="24"/>
  <c r="D362" i="24"/>
  <c r="G361" i="24"/>
  <c r="F361" i="24"/>
  <c r="E361" i="24"/>
  <c r="D361" i="24"/>
  <c r="G360" i="24"/>
  <c r="F360" i="24"/>
  <c r="E360" i="24"/>
  <c r="D360" i="24"/>
  <c r="G359" i="24"/>
  <c r="F359" i="24"/>
  <c r="E359" i="24"/>
  <c r="D359" i="24"/>
  <c r="G358" i="24"/>
  <c r="F358" i="24"/>
  <c r="E358" i="24"/>
  <c r="D358" i="24"/>
  <c r="G357" i="24"/>
  <c r="F357" i="24"/>
  <c r="E357" i="24"/>
  <c r="D357" i="24"/>
  <c r="G356" i="24"/>
  <c r="F356" i="24"/>
  <c r="E356" i="24"/>
  <c r="D356" i="24"/>
  <c r="G355" i="24"/>
  <c r="F355" i="24"/>
  <c r="E355" i="24"/>
  <c r="D355" i="24"/>
  <c r="G354" i="24"/>
  <c r="F354" i="24"/>
  <c r="E354" i="24"/>
  <c r="D354" i="24"/>
  <c r="G353" i="24"/>
  <c r="F353" i="24"/>
  <c r="E353" i="24"/>
  <c r="D353" i="24"/>
  <c r="G352" i="24"/>
  <c r="F352" i="24"/>
  <c r="E352" i="24"/>
  <c r="D352" i="24"/>
  <c r="G351" i="24"/>
  <c r="F351" i="24"/>
  <c r="E351" i="24"/>
  <c r="D351" i="24"/>
  <c r="G350" i="24"/>
  <c r="F350" i="24"/>
  <c r="E350" i="24"/>
  <c r="D350" i="24"/>
  <c r="G349" i="24"/>
  <c r="F349" i="24"/>
  <c r="E349" i="24"/>
  <c r="D349" i="24"/>
  <c r="G348" i="24"/>
  <c r="F348" i="24"/>
  <c r="E348" i="24"/>
  <c r="D348" i="24"/>
  <c r="G347" i="24"/>
  <c r="F347" i="24"/>
  <c r="E347" i="24"/>
  <c r="D347" i="24"/>
  <c r="G346" i="24"/>
  <c r="F346" i="24"/>
  <c r="E346" i="24"/>
  <c r="D346" i="24"/>
  <c r="G345" i="24"/>
  <c r="F345" i="24"/>
  <c r="E345" i="24"/>
  <c r="D345" i="24"/>
  <c r="G344" i="24"/>
  <c r="F344" i="24"/>
  <c r="E344" i="24"/>
  <c r="D344" i="24"/>
  <c r="G343" i="24"/>
  <c r="F343" i="24"/>
  <c r="E343" i="24"/>
  <c r="D343" i="24"/>
  <c r="G342" i="24"/>
  <c r="F342" i="24"/>
  <c r="E342" i="24"/>
  <c r="D342" i="24"/>
  <c r="G341" i="24"/>
  <c r="F341" i="24"/>
  <c r="E341" i="24"/>
  <c r="D341" i="24"/>
  <c r="G340" i="24"/>
  <c r="F340" i="24"/>
  <c r="E340" i="24"/>
  <c r="D340" i="24"/>
  <c r="G339" i="24"/>
  <c r="F339" i="24"/>
  <c r="E339" i="24"/>
  <c r="D339" i="24"/>
  <c r="G338" i="24"/>
  <c r="F338" i="24"/>
  <c r="E338" i="24"/>
  <c r="D338" i="24"/>
  <c r="G337" i="24"/>
  <c r="F337" i="24"/>
  <c r="E337" i="24"/>
  <c r="D337" i="24"/>
  <c r="G336" i="24"/>
  <c r="F336" i="24"/>
  <c r="E336" i="24"/>
  <c r="D336" i="24"/>
  <c r="G335" i="24"/>
  <c r="F335" i="24"/>
  <c r="E335" i="24"/>
  <c r="D335" i="24"/>
  <c r="G334" i="24"/>
  <c r="F334" i="24"/>
  <c r="E334" i="24"/>
  <c r="D334" i="24"/>
  <c r="G333" i="24"/>
  <c r="F333" i="24"/>
  <c r="E333" i="24"/>
  <c r="D333" i="24"/>
  <c r="G332" i="24"/>
  <c r="F332" i="24"/>
  <c r="E332" i="24"/>
  <c r="D332" i="24"/>
  <c r="G331" i="24"/>
  <c r="F331" i="24"/>
  <c r="E331" i="24"/>
  <c r="D331" i="24"/>
  <c r="G330" i="24"/>
  <c r="F330" i="24"/>
  <c r="E330" i="24"/>
  <c r="D330" i="24"/>
  <c r="G329" i="24"/>
  <c r="F329" i="24"/>
  <c r="E329" i="24"/>
  <c r="D329" i="24"/>
  <c r="G328" i="24"/>
  <c r="F328" i="24"/>
  <c r="E328" i="24"/>
  <c r="D328" i="24"/>
  <c r="G327" i="24"/>
  <c r="F327" i="24"/>
  <c r="E327" i="24"/>
  <c r="D327" i="24"/>
  <c r="G326" i="24"/>
  <c r="F326" i="24"/>
  <c r="E326" i="24"/>
  <c r="D326" i="24"/>
  <c r="G325" i="24"/>
  <c r="F325" i="24"/>
  <c r="E325" i="24"/>
  <c r="D325" i="24"/>
  <c r="G324" i="24"/>
  <c r="F324" i="24"/>
  <c r="E324" i="24"/>
  <c r="D324" i="24"/>
  <c r="G323" i="24"/>
  <c r="F323" i="24"/>
  <c r="E323" i="24"/>
  <c r="D323" i="24"/>
  <c r="G322" i="24"/>
  <c r="F322" i="24"/>
  <c r="E322" i="24"/>
  <c r="D322" i="24"/>
  <c r="G321" i="24"/>
  <c r="F321" i="24"/>
  <c r="E321" i="24"/>
  <c r="D321" i="24"/>
  <c r="G320" i="24"/>
  <c r="F320" i="24"/>
  <c r="E320" i="24"/>
  <c r="D320" i="24"/>
  <c r="G319" i="24"/>
  <c r="F319" i="24"/>
  <c r="E319" i="24"/>
  <c r="D319" i="24"/>
  <c r="G318" i="24"/>
  <c r="F318" i="24"/>
  <c r="E318" i="24"/>
  <c r="D318" i="24"/>
  <c r="G317" i="24"/>
  <c r="F317" i="24"/>
  <c r="E317" i="24"/>
  <c r="D317" i="24"/>
  <c r="G316" i="24"/>
  <c r="F316" i="24"/>
  <c r="E316" i="24"/>
  <c r="D316" i="24"/>
  <c r="G315" i="24"/>
  <c r="F315" i="24"/>
  <c r="E315" i="24"/>
  <c r="D315" i="24"/>
  <c r="G314" i="24"/>
  <c r="F314" i="24"/>
  <c r="E314" i="24"/>
  <c r="D314" i="24"/>
  <c r="G313" i="24"/>
  <c r="F313" i="24"/>
  <c r="E313" i="24"/>
  <c r="D313" i="24"/>
  <c r="G312" i="24"/>
  <c r="F312" i="24"/>
  <c r="E312" i="24"/>
  <c r="D312" i="24"/>
  <c r="G311" i="24"/>
  <c r="F311" i="24"/>
  <c r="E311" i="24"/>
  <c r="D311" i="24"/>
  <c r="G310" i="24"/>
  <c r="F310" i="24"/>
  <c r="E310" i="24"/>
  <c r="D310" i="24"/>
  <c r="G309" i="24"/>
  <c r="F309" i="24"/>
  <c r="E309" i="24"/>
  <c r="D309" i="24"/>
  <c r="G308" i="24"/>
  <c r="F308" i="24"/>
  <c r="E308" i="24"/>
  <c r="D308" i="24"/>
  <c r="G307" i="24"/>
  <c r="F307" i="24"/>
  <c r="E307" i="24"/>
  <c r="D307" i="24"/>
  <c r="G306" i="24"/>
  <c r="F306" i="24"/>
  <c r="E306" i="24"/>
  <c r="D306" i="24"/>
  <c r="G305" i="24"/>
  <c r="F305" i="24"/>
  <c r="E305" i="24"/>
  <c r="D305" i="24"/>
  <c r="G304" i="24"/>
  <c r="F304" i="24"/>
  <c r="E304" i="24"/>
  <c r="D304" i="24"/>
  <c r="G303" i="24"/>
  <c r="F303" i="24"/>
  <c r="E303" i="24"/>
  <c r="D303" i="24"/>
  <c r="G302" i="24"/>
  <c r="F302" i="24"/>
  <c r="E302" i="24"/>
  <c r="D302" i="24"/>
  <c r="G301" i="24"/>
  <c r="F301" i="24"/>
  <c r="E301" i="24"/>
  <c r="D301" i="24"/>
  <c r="G300" i="24"/>
  <c r="F300" i="24"/>
  <c r="E300" i="24"/>
  <c r="D300" i="24"/>
  <c r="G299" i="24"/>
  <c r="F299" i="24"/>
  <c r="E299" i="24"/>
  <c r="D299" i="24"/>
  <c r="G298" i="24"/>
  <c r="F298" i="24"/>
  <c r="E298" i="24"/>
  <c r="D298" i="24"/>
  <c r="G297" i="24"/>
  <c r="F297" i="24"/>
  <c r="E297" i="24"/>
  <c r="D297" i="24"/>
  <c r="G296" i="24"/>
  <c r="F296" i="24"/>
  <c r="E296" i="24"/>
  <c r="D296" i="24"/>
  <c r="G295" i="24"/>
  <c r="F295" i="24"/>
  <c r="E295" i="24"/>
  <c r="D295" i="24"/>
  <c r="G294" i="24"/>
  <c r="F294" i="24"/>
  <c r="E294" i="24"/>
  <c r="D294" i="24"/>
  <c r="G293" i="24"/>
  <c r="F293" i="24"/>
  <c r="E293" i="24"/>
  <c r="D293" i="24"/>
  <c r="G292" i="24"/>
  <c r="F292" i="24"/>
  <c r="E292" i="24"/>
  <c r="D292" i="24"/>
  <c r="G291" i="24"/>
  <c r="F291" i="24"/>
  <c r="E291" i="24"/>
  <c r="D291" i="24"/>
  <c r="G290" i="24"/>
  <c r="F290" i="24"/>
  <c r="E290" i="24"/>
  <c r="D290" i="24"/>
  <c r="G289" i="24"/>
  <c r="F289" i="24"/>
  <c r="E289" i="24"/>
  <c r="D289" i="24"/>
  <c r="G288" i="24"/>
  <c r="F288" i="24"/>
  <c r="E288" i="24"/>
  <c r="D288" i="24"/>
  <c r="G287" i="24"/>
  <c r="F287" i="24"/>
  <c r="E287" i="24"/>
  <c r="D287" i="24"/>
  <c r="G286" i="24"/>
  <c r="F286" i="24"/>
  <c r="E286" i="24"/>
  <c r="D286" i="24"/>
  <c r="G285" i="24"/>
  <c r="F285" i="24"/>
  <c r="E285" i="24"/>
  <c r="D285" i="24"/>
  <c r="G284" i="24"/>
  <c r="F284" i="24"/>
  <c r="E284" i="24"/>
  <c r="D284" i="24"/>
  <c r="G283" i="24"/>
  <c r="F283" i="24"/>
  <c r="E283" i="24"/>
  <c r="D283" i="24"/>
  <c r="G282" i="24"/>
  <c r="F282" i="24"/>
  <c r="E282" i="24"/>
  <c r="D282" i="24"/>
  <c r="G281" i="24"/>
  <c r="F281" i="24"/>
  <c r="E281" i="24"/>
  <c r="D281" i="24"/>
  <c r="G280" i="24"/>
  <c r="F280" i="24"/>
  <c r="E280" i="24"/>
  <c r="D280" i="24"/>
  <c r="G279" i="24"/>
  <c r="F279" i="24"/>
  <c r="E279" i="24"/>
  <c r="D279" i="24"/>
  <c r="G278" i="24"/>
  <c r="F278" i="24"/>
  <c r="E278" i="24"/>
  <c r="D278" i="24"/>
  <c r="G277" i="24"/>
  <c r="F277" i="24"/>
  <c r="E277" i="24"/>
  <c r="D277" i="24"/>
  <c r="G276" i="24"/>
  <c r="F276" i="24"/>
  <c r="E276" i="24"/>
  <c r="D276" i="24"/>
  <c r="G275" i="24"/>
  <c r="F275" i="24"/>
  <c r="E275" i="24"/>
  <c r="D275" i="24"/>
  <c r="G274" i="24"/>
  <c r="F274" i="24"/>
  <c r="E274" i="24"/>
  <c r="D274" i="24"/>
  <c r="G273" i="24"/>
  <c r="F273" i="24"/>
  <c r="E273" i="24"/>
  <c r="D273" i="24"/>
  <c r="G272" i="24"/>
  <c r="F272" i="24"/>
  <c r="E272" i="24"/>
  <c r="D272" i="24"/>
  <c r="G271" i="24"/>
  <c r="F271" i="24"/>
  <c r="E271" i="24"/>
  <c r="D271" i="24"/>
  <c r="G270" i="24"/>
  <c r="F270" i="24"/>
  <c r="E270" i="24"/>
  <c r="D270" i="24"/>
  <c r="G269" i="24"/>
  <c r="F269" i="24"/>
  <c r="E269" i="24"/>
  <c r="D269" i="24"/>
  <c r="G268" i="24"/>
  <c r="F268" i="24"/>
  <c r="E268" i="24"/>
  <c r="D268" i="24"/>
  <c r="G267" i="24"/>
  <c r="F267" i="24"/>
  <c r="E267" i="24"/>
  <c r="D267" i="24"/>
  <c r="G266" i="24"/>
  <c r="F266" i="24"/>
  <c r="E266" i="24"/>
  <c r="D266" i="24"/>
  <c r="G265" i="24"/>
  <c r="F265" i="24"/>
  <c r="E265" i="24"/>
  <c r="D265" i="24"/>
  <c r="G264" i="24"/>
  <c r="F264" i="24"/>
  <c r="E264" i="24"/>
  <c r="D264" i="24"/>
  <c r="G263" i="24"/>
  <c r="F263" i="24"/>
  <c r="E263" i="24"/>
  <c r="D263" i="24"/>
  <c r="G262" i="24"/>
  <c r="F262" i="24"/>
  <c r="E262" i="24"/>
  <c r="D262" i="24"/>
  <c r="G261" i="24"/>
  <c r="F261" i="24"/>
  <c r="E261" i="24"/>
  <c r="D261" i="24"/>
  <c r="G260" i="24"/>
  <c r="F260" i="24"/>
  <c r="E260" i="24"/>
  <c r="D260" i="24"/>
  <c r="G259" i="24"/>
  <c r="F259" i="24"/>
  <c r="E259" i="24"/>
  <c r="D259" i="24"/>
  <c r="G258" i="24"/>
  <c r="F258" i="24"/>
  <c r="E258" i="24"/>
  <c r="D258" i="24"/>
  <c r="G257" i="24"/>
  <c r="F257" i="24"/>
  <c r="E257" i="24"/>
  <c r="D257" i="24"/>
  <c r="G256" i="24"/>
  <c r="F256" i="24"/>
  <c r="E256" i="24"/>
  <c r="D256" i="24"/>
  <c r="G255" i="24"/>
  <c r="F255" i="24"/>
  <c r="E255" i="24"/>
  <c r="D255" i="24"/>
  <c r="G254" i="24"/>
  <c r="F254" i="24"/>
  <c r="E254" i="24"/>
  <c r="D254" i="24"/>
  <c r="G253" i="24"/>
  <c r="F253" i="24"/>
  <c r="E253" i="24"/>
  <c r="D253" i="24"/>
  <c r="G252" i="24"/>
  <c r="F252" i="24"/>
  <c r="E252" i="24"/>
  <c r="D252" i="24"/>
  <c r="G251" i="24"/>
  <c r="F251" i="24"/>
  <c r="E251" i="24"/>
  <c r="D251" i="24"/>
  <c r="G250" i="24"/>
  <c r="F250" i="24"/>
  <c r="E250" i="24"/>
  <c r="D250" i="24"/>
  <c r="G249" i="24"/>
  <c r="F249" i="24"/>
  <c r="E249" i="24"/>
  <c r="D249" i="24"/>
  <c r="G248" i="24"/>
  <c r="F248" i="24"/>
  <c r="E248" i="24"/>
  <c r="D248" i="24"/>
  <c r="G247" i="24"/>
  <c r="F247" i="24"/>
  <c r="E247" i="24"/>
  <c r="D247" i="24"/>
  <c r="G246" i="24"/>
  <c r="F246" i="24"/>
  <c r="E246" i="24"/>
  <c r="D246" i="24"/>
  <c r="G245" i="24"/>
  <c r="F245" i="24"/>
  <c r="E245" i="24"/>
  <c r="D245" i="24"/>
  <c r="G244" i="24"/>
  <c r="F244" i="24"/>
  <c r="E244" i="24"/>
  <c r="D244" i="24"/>
  <c r="G243" i="24"/>
  <c r="F243" i="24"/>
  <c r="E243" i="24"/>
  <c r="D243" i="24"/>
  <c r="G242" i="24"/>
  <c r="F242" i="24"/>
  <c r="E242" i="24"/>
  <c r="D242" i="24"/>
  <c r="G241" i="24"/>
  <c r="F241" i="24"/>
  <c r="E241" i="24"/>
  <c r="D241" i="24"/>
  <c r="G240" i="24"/>
  <c r="F240" i="24"/>
  <c r="E240" i="24"/>
  <c r="D240" i="24"/>
  <c r="G239" i="24"/>
  <c r="F239" i="24"/>
  <c r="E239" i="24"/>
  <c r="D239" i="24"/>
  <c r="G238" i="24"/>
  <c r="F238" i="24"/>
  <c r="E238" i="24"/>
  <c r="D238" i="24"/>
  <c r="G237" i="24"/>
  <c r="F237" i="24"/>
  <c r="E237" i="24"/>
  <c r="D237" i="24"/>
  <c r="G236" i="24"/>
  <c r="F236" i="24"/>
  <c r="E236" i="24"/>
  <c r="D236" i="24"/>
  <c r="G235" i="24"/>
  <c r="F235" i="24"/>
  <c r="E235" i="24"/>
  <c r="D235" i="24"/>
  <c r="G234" i="24"/>
  <c r="F234" i="24"/>
  <c r="E234" i="24"/>
  <c r="D234" i="24"/>
  <c r="G233" i="24"/>
  <c r="F233" i="24"/>
  <c r="E233" i="24"/>
  <c r="D233" i="24"/>
  <c r="G232" i="24"/>
  <c r="F232" i="24"/>
  <c r="E232" i="24"/>
  <c r="D232" i="24"/>
  <c r="G231" i="24"/>
  <c r="F231" i="24"/>
  <c r="E231" i="24"/>
  <c r="D231" i="24"/>
  <c r="G230" i="24"/>
  <c r="F230" i="24"/>
  <c r="E230" i="24"/>
  <c r="D230" i="24"/>
  <c r="G229" i="24"/>
  <c r="F229" i="24"/>
  <c r="E229" i="24"/>
  <c r="D229" i="24"/>
  <c r="G228" i="24"/>
  <c r="F228" i="24"/>
  <c r="E228" i="24"/>
  <c r="D228" i="24"/>
  <c r="G227" i="24"/>
  <c r="F227" i="24"/>
  <c r="E227" i="24"/>
  <c r="D227" i="24"/>
  <c r="G226" i="24"/>
  <c r="F226" i="24"/>
  <c r="E226" i="24"/>
  <c r="D226" i="24"/>
  <c r="G225" i="24"/>
  <c r="F225" i="24"/>
  <c r="E225" i="24"/>
  <c r="D225" i="24"/>
  <c r="G224" i="24"/>
  <c r="F224" i="24"/>
  <c r="E224" i="24"/>
  <c r="D224" i="24"/>
  <c r="G223" i="24"/>
  <c r="F223" i="24"/>
  <c r="E223" i="24"/>
  <c r="D223" i="24"/>
  <c r="G222" i="24"/>
  <c r="F222" i="24"/>
  <c r="E222" i="24"/>
  <c r="D222" i="24"/>
  <c r="G221" i="24"/>
  <c r="F221" i="24"/>
  <c r="E221" i="24"/>
  <c r="D221" i="24"/>
  <c r="G220" i="24"/>
  <c r="F220" i="24"/>
  <c r="E220" i="24"/>
  <c r="D220" i="24"/>
  <c r="G219" i="24"/>
  <c r="F219" i="24"/>
  <c r="E219" i="24"/>
  <c r="D219" i="24"/>
  <c r="G218" i="24"/>
  <c r="F218" i="24"/>
  <c r="E218" i="24"/>
  <c r="D218" i="24"/>
  <c r="G217" i="24"/>
  <c r="F217" i="24"/>
  <c r="E217" i="24"/>
  <c r="D217" i="24"/>
  <c r="G216" i="24"/>
  <c r="F216" i="24"/>
  <c r="E216" i="24"/>
  <c r="D216" i="24"/>
  <c r="G215" i="24"/>
  <c r="F215" i="24"/>
  <c r="E215" i="24"/>
  <c r="D215" i="24"/>
  <c r="G214" i="24"/>
  <c r="F214" i="24"/>
  <c r="E214" i="24"/>
  <c r="D214" i="24"/>
  <c r="G213" i="24"/>
  <c r="F213" i="24"/>
  <c r="E213" i="24"/>
  <c r="D213" i="24"/>
  <c r="G212" i="24"/>
  <c r="F212" i="24"/>
  <c r="E212" i="24"/>
  <c r="D212" i="24"/>
  <c r="G211" i="24"/>
  <c r="F211" i="24"/>
  <c r="E211" i="24"/>
  <c r="D211" i="24"/>
  <c r="G210" i="24"/>
  <c r="F210" i="24"/>
  <c r="E210" i="24"/>
  <c r="D210" i="24"/>
  <c r="G209" i="24"/>
  <c r="F209" i="24"/>
  <c r="E209" i="24"/>
  <c r="D209" i="24"/>
  <c r="G208" i="24"/>
  <c r="F208" i="24"/>
  <c r="E208" i="24"/>
  <c r="D208" i="24"/>
  <c r="G207" i="24"/>
  <c r="F207" i="24"/>
  <c r="E207" i="24"/>
  <c r="D207" i="24"/>
  <c r="G206" i="24"/>
  <c r="F206" i="24"/>
  <c r="E206" i="24"/>
  <c r="D206" i="24"/>
  <c r="G205" i="24"/>
  <c r="F205" i="24"/>
  <c r="E205" i="24"/>
  <c r="D205" i="24"/>
  <c r="G204" i="24"/>
  <c r="F204" i="24"/>
  <c r="E204" i="24"/>
  <c r="D204" i="24"/>
  <c r="G203" i="24"/>
  <c r="F203" i="24"/>
  <c r="E203" i="24"/>
  <c r="D203" i="24"/>
  <c r="G202" i="24"/>
  <c r="F202" i="24"/>
  <c r="E202" i="24"/>
  <c r="D202" i="24"/>
  <c r="G201" i="24"/>
  <c r="F201" i="24"/>
  <c r="E201" i="24"/>
  <c r="D201" i="24"/>
  <c r="G200" i="24"/>
  <c r="F200" i="24"/>
  <c r="E200" i="24"/>
  <c r="D200" i="24"/>
  <c r="G199" i="24"/>
  <c r="F199" i="24"/>
  <c r="E199" i="24"/>
  <c r="D199" i="24"/>
  <c r="G198" i="24"/>
  <c r="F198" i="24"/>
  <c r="E198" i="24"/>
  <c r="D198" i="24"/>
  <c r="G197" i="24"/>
  <c r="F197" i="24"/>
  <c r="E197" i="24"/>
  <c r="D197" i="24"/>
  <c r="G196" i="24"/>
  <c r="F196" i="24"/>
  <c r="E196" i="24"/>
  <c r="D196" i="24"/>
  <c r="G195" i="24"/>
  <c r="F195" i="24"/>
  <c r="E195" i="24"/>
  <c r="D195" i="24"/>
  <c r="G194" i="24"/>
  <c r="F194" i="24"/>
  <c r="E194" i="24"/>
  <c r="D194" i="24"/>
  <c r="G193" i="24"/>
  <c r="F193" i="24"/>
  <c r="E193" i="24"/>
  <c r="D193" i="24"/>
  <c r="G192" i="24"/>
  <c r="F192" i="24"/>
  <c r="E192" i="24"/>
  <c r="D192" i="24"/>
  <c r="G191" i="24"/>
  <c r="F191" i="24"/>
  <c r="E191" i="24"/>
  <c r="D191" i="24"/>
  <c r="G190" i="24"/>
  <c r="F190" i="24"/>
  <c r="E190" i="24"/>
  <c r="D190" i="24"/>
  <c r="G189" i="24"/>
  <c r="F189" i="24"/>
  <c r="E189" i="24"/>
  <c r="D189" i="24"/>
  <c r="G188" i="24"/>
  <c r="F188" i="24"/>
  <c r="E188" i="24"/>
  <c r="D188" i="24"/>
  <c r="G187" i="24"/>
  <c r="F187" i="24"/>
  <c r="E187" i="24"/>
  <c r="D187" i="24"/>
  <c r="G186" i="24"/>
  <c r="F186" i="24"/>
  <c r="E186" i="24"/>
  <c r="D186" i="24"/>
  <c r="G185" i="24"/>
  <c r="F185" i="24"/>
  <c r="E185" i="24"/>
  <c r="D185" i="24"/>
  <c r="G184" i="24"/>
  <c r="F184" i="24"/>
  <c r="E184" i="24"/>
  <c r="D184" i="24"/>
  <c r="G183" i="24"/>
  <c r="F183" i="24"/>
  <c r="E183" i="24"/>
  <c r="D183" i="24"/>
  <c r="G182" i="24"/>
  <c r="F182" i="24"/>
  <c r="E182" i="24"/>
  <c r="D182" i="24"/>
  <c r="G181" i="24"/>
  <c r="F181" i="24"/>
  <c r="E181" i="24"/>
  <c r="D181" i="24"/>
  <c r="G180" i="24"/>
  <c r="F180" i="24"/>
  <c r="E180" i="24"/>
  <c r="D180" i="24"/>
  <c r="G179" i="24"/>
  <c r="F179" i="24"/>
  <c r="E179" i="24"/>
  <c r="D179" i="24"/>
  <c r="G178" i="24"/>
  <c r="F178" i="24"/>
  <c r="E178" i="24"/>
  <c r="D178" i="24"/>
  <c r="G177" i="24"/>
  <c r="F177" i="24"/>
  <c r="E177" i="24"/>
  <c r="D177" i="24"/>
  <c r="G176" i="24"/>
  <c r="F176" i="24"/>
  <c r="E176" i="24"/>
  <c r="D176" i="24"/>
  <c r="G175" i="24"/>
  <c r="F175" i="24"/>
  <c r="E175" i="24"/>
  <c r="D175" i="24"/>
  <c r="G174" i="24"/>
  <c r="F174" i="24"/>
  <c r="E174" i="24"/>
  <c r="D174" i="24"/>
  <c r="G173" i="24"/>
  <c r="F173" i="24"/>
  <c r="E173" i="24"/>
  <c r="D173" i="24"/>
  <c r="G172" i="24"/>
  <c r="F172" i="24"/>
  <c r="E172" i="24"/>
  <c r="D172" i="24"/>
  <c r="G171" i="24"/>
  <c r="F171" i="24"/>
  <c r="E171" i="24"/>
  <c r="D171" i="24"/>
  <c r="G170" i="24"/>
  <c r="F170" i="24"/>
  <c r="E170" i="24"/>
  <c r="D170" i="24"/>
  <c r="G169" i="24"/>
  <c r="F169" i="24"/>
  <c r="E169" i="24"/>
  <c r="D169" i="24"/>
  <c r="G168" i="24"/>
  <c r="F168" i="24"/>
  <c r="E168" i="24"/>
  <c r="D168" i="24"/>
  <c r="G167" i="24"/>
  <c r="F167" i="24"/>
  <c r="E167" i="24"/>
  <c r="D167" i="24"/>
  <c r="G166" i="24"/>
  <c r="F166" i="24"/>
  <c r="E166" i="24"/>
  <c r="D166" i="24"/>
  <c r="G165" i="24"/>
  <c r="F165" i="24"/>
  <c r="E165" i="24"/>
  <c r="D165" i="24"/>
  <c r="G164" i="24"/>
  <c r="F164" i="24"/>
  <c r="E164" i="24"/>
  <c r="D164" i="24"/>
  <c r="G163" i="24"/>
  <c r="F163" i="24"/>
  <c r="E163" i="24"/>
  <c r="D163" i="24"/>
  <c r="G162" i="24"/>
  <c r="F162" i="24"/>
  <c r="E162" i="24"/>
  <c r="D162" i="24"/>
  <c r="G161" i="24"/>
  <c r="F161" i="24"/>
  <c r="E161" i="24"/>
  <c r="D161" i="24"/>
  <c r="G160" i="24"/>
  <c r="F160" i="24"/>
  <c r="E160" i="24"/>
  <c r="D160" i="24"/>
  <c r="G159" i="24"/>
  <c r="F159" i="24"/>
  <c r="E159" i="24"/>
  <c r="D159" i="24"/>
  <c r="G158" i="24"/>
  <c r="F158" i="24"/>
  <c r="E158" i="24"/>
  <c r="D158" i="24"/>
  <c r="G157" i="24"/>
  <c r="F157" i="24"/>
  <c r="E157" i="24"/>
  <c r="D157" i="24"/>
  <c r="G156" i="24"/>
  <c r="F156" i="24"/>
  <c r="E156" i="24"/>
  <c r="D156" i="24"/>
  <c r="G155" i="24"/>
  <c r="F155" i="24"/>
  <c r="E155" i="24"/>
  <c r="D155" i="24"/>
  <c r="G154" i="24"/>
  <c r="F154" i="24"/>
  <c r="E154" i="24"/>
  <c r="D154" i="24"/>
  <c r="G153" i="24"/>
  <c r="F153" i="24"/>
  <c r="E153" i="24"/>
  <c r="D153" i="24"/>
  <c r="G152" i="24"/>
  <c r="F152" i="24"/>
  <c r="E152" i="24"/>
  <c r="D152" i="24"/>
  <c r="G151" i="24"/>
  <c r="F151" i="24"/>
  <c r="E151" i="24"/>
  <c r="D151" i="24"/>
  <c r="G150" i="24"/>
  <c r="F150" i="24"/>
  <c r="E150" i="24"/>
  <c r="D150" i="24"/>
  <c r="G149" i="24"/>
  <c r="F149" i="24"/>
  <c r="E149" i="24"/>
  <c r="D149" i="24"/>
  <c r="G148" i="24"/>
  <c r="F148" i="24"/>
  <c r="E148" i="24"/>
  <c r="D148" i="24"/>
  <c r="G147" i="24"/>
  <c r="F147" i="24"/>
  <c r="E147" i="24"/>
  <c r="D147" i="24"/>
  <c r="G146" i="24"/>
  <c r="F146" i="24"/>
  <c r="E146" i="24"/>
  <c r="D146" i="24"/>
  <c r="G145" i="24"/>
  <c r="F145" i="24"/>
  <c r="E145" i="24"/>
  <c r="D145" i="24"/>
  <c r="G144" i="24"/>
  <c r="F144" i="24"/>
  <c r="E144" i="24"/>
  <c r="D144" i="24"/>
  <c r="G143" i="24"/>
  <c r="F143" i="24"/>
  <c r="E143" i="24"/>
  <c r="D143" i="24"/>
  <c r="G142" i="24"/>
  <c r="F142" i="24"/>
  <c r="E142" i="24"/>
  <c r="D142" i="24"/>
  <c r="G141" i="24"/>
  <c r="F141" i="24"/>
  <c r="E141" i="24"/>
  <c r="D141" i="24"/>
  <c r="G140" i="24"/>
  <c r="F140" i="24"/>
  <c r="E140" i="24"/>
  <c r="D140" i="24"/>
  <c r="G139" i="24"/>
  <c r="F139" i="24"/>
  <c r="E139" i="24"/>
  <c r="D139" i="24"/>
  <c r="G138" i="24"/>
  <c r="F138" i="24"/>
  <c r="E138" i="24"/>
  <c r="D138" i="24"/>
  <c r="G137" i="24"/>
  <c r="F137" i="24"/>
  <c r="E137" i="24"/>
  <c r="D137" i="24"/>
  <c r="G136" i="24"/>
  <c r="F136" i="24"/>
  <c r="E136" i="24"/>
  <c r="D136" i="24"/>
  <c r="G135" i="24"/>
  <c r="F135" i="24"/>
  <c r="E135" i="24"/>
  <c r="D135" i="24"/>
  <c r="G134" i="24"/>
  <c r="F134" i="24"/>
  <c r="E134" i="24"/>
  <c r="D134" i="24"/>
  <c r="G133" i="24"/>
  <c r="F133" i="24"/>
  <c r="E133" i="24"/>
  <c r="D133" i="24"/>
  <c r="G132" i="24"/>
  <c r="F132" i="24"/>
  <c r="E132" i="24"/>
  <c r="D132" i="24"/>
  <c r="G131" i="24"/>
  <c r="F131" i="24"/>
  <c r="E131" i="24"/>
  <c r="D131" i="24"/>
  <c r="G130" i="24"/>
  <c r="F130" i="24"/>
  <c r="E130" i="24"/>
  <c r="D130" i="24"/>
  <c r="G129" i="24"/>
  <c r="F129" i="24"/>
  <c r="E129" i="24"/>
  <c r="D129" i="24"/>
  <c r="G128" i="24"/>
  <c r="F128" i="24"/>
  <c r="E128" i="24"/>
  <c r="D128" i="24"/>
  <c r="G127" i="24"/>
  <c r="F127" i="24"/>
  <c r="E127" i="24"/>
  <c r="D127" i="24"/>
  <c r="G126" i="24"/>
  <c r="F126" i="24"/>
  <c r="E126" i="24"/>
  <c r="D126" i="24"/>
  <c r="G125" i="24"/>
  <c r="F125" i="24"/>
  <c r="E125" i="24"/>
  <c r="D125" i="24"/>
  <c r="G124" i="24"/>
  <c r="F124" i="24"/>
  <c r="E124" i="24"/>
  <c r="D124" i="24"/>
  <c r="G123" i="24"/>
  <c r="F123" i="24"/>
  <c r="E123" i="24"/>
  <c r="D123" i="24"/>
  <c r="G122" i="24"/>
  <c r="F122" i="24"/>
  <c r="E122" i="24"/>
  <c r="D122" i="24"/>
  <c r="G121" i="24"/>
  <c r="F121" i="24"/>
  <c r="E121" i="24"/>
  <c r="D121" i="24"/>
  <c r="G120" i="24"/>
  <c r="F120" i="24"/>
  <c r="E120" i="24"/>
  <c r="D120" i="24"/>
  <c r="G119" i="24"/>
  <c r="F119" i="24"/>
  <c r="E119" i="24"/>
  <c r="D119" i="24"/>
  <c r="G118" i="24"/>
  <c r="F118" i="24"/>
  <c r="E118" i="24"/>
  <c r="D118" i="24"/>
  <c r="G117" i="24"/>
  <c r="F117" i="24"/>
  <c r="E117" i="24"/>
  <c r="D117" i="24"/>
  <c r="G116" i="24"/>
  <c r="F116" i="24"/>
  <c r="E116" i="24"/>
  <c r="D116" i="24"/>
  <c r="G115" i="24"/>
  <c r="F115" i="24"/>
  <c r="E115" i="24"/>
  <c r="D115" i="24"/>
  <c r="G114" i="24"/>
  <c r="F114" i="24"/>
  <c r="E114" i="24"/>
  <c r="D114" i="24"/>
  <c r="G113" i="24"/>
  <c r="F113" i="24"/>
  <c r="E113" i="24"/>
  <c r="D113" i="24"/>
  <c r="G112" i="24"/>
  <c r="F112" i="24"/>
  <c r="E112" i="24"/>
  <c r="D112" i="24"/>
  <c r="G111" i="24"/>
  <c r="F111" i="24"/>
  <c r="E111" i="24"/>
  <c r="D111" i="24"/>
  <c r="G110" i="24"/>
  <c r="F110" i="24"/>
  <c r="E110" i="24"/>
  <c r="D110" i="24"/>
  <c r="G109" i="24"/>
  <c r="F109" i="24"/>
  <c r="E109" i="24"/>
  <c r="D109" i="24"/>
  <c r="G108" i="24"/>
  <c r="F108" i="24"/>
  <c r="E108" i="24"/>
  <c r="D108" i="24"/>
  <c r="G107" i="24"/>
  <c r="F107" i="24"/>
  <c r="E107" i="24"/>
  <c r="D107" i="24"/>
  <c r="G106" i="24"/>
  <c r="F106" i="24"/>
  <c r="E106" i="24"/>
  <c r="D106" i="24"/>
  <c r="G105" i="24"/>
  <c r="F105" i="24"/>
  <c r="E105" i="24"/>
  <c r="D105" i="24"/>
  <c r="G104" i="24"/>
  <c r="F104" i="24"/>
  <c r="E104" i="24"/>
  <c r="D104" i="24"/>
  <c r="G103" i="24"/>
  <c r="F103" i="24"/>
  <c r="E103" i="24"/>
  <c r="D103" i="24"/>
  <c r="G102" i="24"/>
  <c r="F102" i="24"/>
  <c r="E102" i="24"/>
  <c r="D102" i="24"/>
  <c r="G101" i="24"/>
  <c r="F101" i="24"/>
  <c r="E101" i="24"/>
  <c r="D101" i="24"/>
  <c r="G100" i="24"/>
  <c r="F100" i="24"/>
  <c r="E100" i="24"/>
  <c r="D100" i="24"/>
  <c r="G99" i="24"/>
  <c r="F99" i="24"/>
  <c r="E99" i="24"/>
  <c r="D99" i="24"/>
  <c r="G98" i="24"/>
  <c r="F98" i="24"/>
  <c r="E98" i="24"/>
  <c r="D98" i="24"/>
  <c r="G97" i="24"/>
  <c r="F97" i="24"/>
  <c r="E97" i="24"/>
  <c r="D97" i="24"/>
  <c r="G96" i="24"/>
  <c r="F96" i="24"/>
  <c r="E96" i="24"/>
  <c r="D96" i="24"/>
  <c r="G95" i="24"/>
  <c r="F95" i="24"/>
  <c r="E95" i="24"/>
  <c r="D95" i="24"/>
  <c r="G94" i="24"/>
  <c r="F94" i="24"/>
  <c r="E94" i="24"/>
  <c r="D94" i="24"/>
  <c r="G93" i="24"/>
  <c r="F93" i="24"/>
  <c r="E93" i="24"/>
  <c r="D93" i="24"/>
  <c r="G92" i="24"/>
  <c r="F92" i="24"/>
  <c r="E92" i="24"/>
  <c r="D92" i="24"/>
  <c r="G91" i="24"/>
  <c r="F91" i="24"/>
  <c r="E91" i="24"/>
  <c r="D91" i="24"/>
  <c r="G90" i="24"/>
  <c r="F90" i="24"/>
  <c r="E90" i="24"/>
  <c r="D90" i="24"/>
  <c r="G89" i="24"/>
  <c r="F89" i="24"/>
  <c r="E89" i="24"/>
  <c r="D89" i="24"/>
  <c r="G88" i="24"/>
  <c r="F88" i="24"/>
  <c r="E88" i="24"/>
  <c r="D88" i="24"/>
  <c r="G87" i="24"/>
  <c r="F87" i="24"/>
  <c r="E87" i="24"/>
  <c r="D87" i="24"/>
  <c r="G86" i="24"/>
  <c r="F86" i="24"/>
  <c r="E86" i="24"/>
  <c r="D86" i="24"/>
  <c r="G85" i="24"/>
  <c r="F85" i="24"/>
  <c r="E85" i="24"/>
  <c r="D85" i="24"/>
  <c r="G84" i="24"/>
  <c r="F84" i="24"/>
  <c r="E84" i="24"/>
  <c r="D84" i="24"/>
  <c r="G83" i="24"/>
  <c r="F83" i="24"/>
  <c r="E83" i="24"/>
  <c r="D83" i="24"/>
  <c r="G82" i="24"/>
  <c r="F82" i="24"/>
  <c r="E82" i="24"/>
  <c r="D82" i="24"/>
  <c r="G81" i="24"/>
  <c r="F81" i="24"/>
  <c r="E81" i="24"/>
  <c r="D81" i="24"/>
  <c r="G80" i="24"/>
  <c r="F80" i="24"/>
  <c r="E80" i="24"/>
  <c r="D80" i="24"/>
  <c r="G79" i="24"/>
  <c r="F79" i="24"/>
  <c r="E79" i="24"/>
  <c r="D79" i="24"/>
  <c r="G78" i="24"/>
  <c r="F78" i="24"/>
  <c r="E78" i="24"/>
  <c r="D78" i="24"/>
  <c r="G77" i="24"/>
  <c r="F77" i="24"/>
  <c r="E77" i="24"/>
  <c r="D77" i="24"/>
  <c r="G76" i="24"/>
  <c r="F76" i="24"/>
  <c r="E76" i="24"/>
  <c r="D76" i="24"/>
  <c r="G75" i="24"/>
  <c r="F75" i="24"/>
  <c r="E75" i="24"/>
  <c r="D75" i="24"/>
  <c r="G74" i="24"/>
  <c r="F74" i="24"/>
  <c r="E74" i="24"/>
  <c r="D74" i="24"/>
  <c r="G73" i="24"/>
  <c r="F73" i="24"/>
  <c r="E73" i="24"/>
  <c r="D73" i="24"/>
  <c r="G72" i="24"/>
  <c r="F72" i="24"/>
  <c r="E72" i="24"/>
  <c r="D72" i="24"/>
  <c r="G71" i="24"/>
  <c r="F71" i="24"/>
  <c r="E71" i="24"/>
  <c r="D71" i="24"/>
  <c r="G70" i="24"/>
  <c r="F70" i="24"/>
  <c r="E70" i="24"/>
  <c r="D70" i="24"/>
  <c r="G69" i="24"/>
  <c r="F69" i="24"/>
  <c r="E69" i="24"/>
  <c r="D69" i="24"/>
  <c r="G68" i="24"/>
  <c r="F68" i="24"/>
  <c r="E68" i="24"/>
  <c r="D68" i="24"/>
  <c r="G67" i="24"/>
  <c r="F67" i="24"/>
  <c r="E67" i="24"/>
  <c r="D67" i="24"/>
  <c r="G66" i="24"/>
  <c r="F66" i="24"/>
  <c r="E66" i="24"/>
  <c r="D66" i="24"/>
  <c r="G65" i="24"/>
  <c r="F65" i="24"/>
  <c r="E65" i="24"/>
  <c r="D65" i="24"/>
  <c r="G64" i="24"/>
  <c r="F64" i="24"/>
  <c r="E64" i="24"/>
  <c r="D64" i="24"/>
  <c r="G63" i="24"/>
  <c r="F63" i="24"/>
  <c r="E63" i="24"/>
  <c r="D63" i="24"/>
  <c r="G62" i="24"/>
  <c r="F62" i="24"/>
  <c r="E62" i="24"/>
  <c r="D62" i="24"/>
  <c r="G61" i="24"/>
  <c r="F61" i="24"/>
  <c r="E61" i="24"/>
  <c r="D61" i="24"/>
  <c r="G60" i="24"/>
  <c r="F60" i="24"/>
  <c r="E60" i="24"/>
  <c r="D60" i="24"/>
  <c r="G59" i="24"/>
  <c r="F59" i="24"/>
  <c r="E59" i="24"/>
  <c r="D59" i="24"/>
  <c r="G58" i="24"/>
  <c r="F58" i="24"/>
  <c r="E58" i="24"/>
  <c r="D58" i="24"/>
  <c r="G57" i="24"/>
  <c r="F57" i="24"/>
  <c r="E57" i="24"/>
  <c r="D57" i="24"/>
  <c r="G56" i="24"/>
  <c r="F56" i="24"/>
  <c r="E56" i="24"/>
  <c r="D56" i="24"/>
  <c r="G55" i="24"/>
  <c r="F55" i="24"/>
  <c r="E55" i="24"/>
  <c r="D55" i="24"/>
  <c r="G54" i="24"/>
  <c r="F54" i="24"/>
  <c r="E54" i="24"/>
  <c r="D54" i="24"/>
  <c r="G53" i="24"/>
  <c r="F53" i="24"/>
  <c r="E53" i="24"/>
  <c r="D53" i="24"/>
  <c r="G52" i="24"/>
  <c r="F52" i="24"/>
  <c r="E52" i="24"/>
  <c r="D52" i="24"/>
  <c r="G51" i="24"/>
  <c r="F51" i="24"/>
  <c r="E51" i="24"/>
  <c r="D51" i="24"/>
  <c r="G50" i="24"/>
  <c r="F50" i="24"/>
  <c r="E50" i="24"/>
  <c r="D50" i="24"/>
  <c r="G49" i="24"/>
  <c r="F49" i="24"/>
  <c r="E49" i="24"/>
  <c r="D49" i="24"/>
  <c r="G48" i="24"/>
  <c r="F48" i="24"/>
  <c r="E48" i="24"/>
  <c r="D48" i="24"/>
  <c r="G47" i="24"/>
  <c r="F47" i="24"/>
  <c r="E47" i="24"/>
  <c r="D47" i="24"/>
  <c r="G46" i="24"/>
  <c r="F46" i="24"/>
  <c r="E46" i="24"/>
  <c r="D46" i="24"/>
  <c r="G45" i="24"/>
  <c r="F45" i="24"/>
  <c r="E45" i="24"/>
  <c r="D45" i="24"/>
  <c r="G44" i="24"/>
  <c r="F44" i="24"/>
  <c r="E44" i="24"/>
  <c r="D44" i="24"/>
  <c r="G43" i="24"/>
  <c r="F43" i="24"/>
  <c r="E43" i="24"/>
  <c r="D43" i="24"/>
  <c r="G42" i="24"/>
  <c r="F42" i="24"/>
  <c r="E42" i="24"/>
  <c r="D42" i="24"/>
  <c r="G41" i="24"/>
  <c r="F41" i="24"/>
  <c r="E41" i="24"/>
  <c r="D41" i="24"/>
  <c r="G40" i="24"/>
  <c r="F40" i="24"/>
  <c r="E40" i="24"/>
  <c r="D40" i="24"/>
  <c r="G39" i="24"/>
  <c r="F39" i="24"/>
  <c r="E39" i="24"/>
  <c r="D39" i="24"/>
  <c r="G38" i="24"/>
  <c r="F38" i="24"/>
  <c r="E38" i="24"/>
  <c r="D38" i="24"/>
  <c r="G37" i="24"/>
  <c r="F37" i="24"/>
  <c r="E37" i="24"/>
  <c r="D37" i="24"/>
  <c r="G36" i="24"/>
  <c r="F36" i="24"/>
  <c r="E36" i="24"/>
  <c r="D36" i="24"/>
  <c r="G35" i="24"/>
  <c r="F35" i="24"/>
  <c r="E35" i="24"/>
  <c r="D35" i="24"/>
  <c r="G34" i="24"/>
  <c r="F34" i="24"/>
  <c r="E34" i="24"/>
  <c r="D34" i="24"/>
  <c r="G33" i="24"/>
  <c r="F33" i="24"/>
  <c r="E33" i="24"/>
  <c r="D33" i="24"/>
  <c r="G32" i="24"/>
  <c r="F32" i="24"/>
  <c r="E32" i="24"/>
  <c r="D32" i="24"/>
  <c r="G31" i="24"/>
  <c r="F31" i="24"/>
  <c r="E31" i="24"/>
  <c r="D31" i="24"/>
  <c r="G30" i="24"/>
  <c r="F30" i="24"/>
  <c r="E30" i="24"/>
  <c r="D30" i="24"/>
  <c r="G29" i="24"/>
  <c r="F29" i="24"/>
  <c r="E29" i="24"/>
  <c r="D29" i="24"/>
  <c r="G28" i="24"/>
  <c r="F28" i="24"/>
  <c r="E28" i="24"/>
  <c r="D28" i="24"/>
  <c r="G27" i="24"/>
  <c r="F27" i="24"/>
  <c r="E27" i="24"/>
  <c r="D27" i="24"/>
  <c r="G26" i="24"/>
  <c r="F26" i="24"/>
  <c r="E26" i="24"/>
  <c r="D26" i="24"/>
  <c r="G25" i="24"/>
  <c r="F25" i="24"/>
  <c r="E25" i="24"/>
  <c r="D25" i="24"/>
  <c r="G24" i="24"/>
  <c r="F24" i="24"/>
  <c r="E24" i="24"/>
  <c r="D24" i="24"/>
  <c r="G23" i="24"/>
  <c r="F23" i="24"/>
  <c r="E23" i="24"/>
  <c r="D23" i="24"/>
  <c r="G22" i="24"/>
  <c r="F22" i="24"/>
  <c r="E22" i="24"/>
  <c r="D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F13" i="24"/>
  <c r="G13" i="24" s="1"/>
  <c r="E13" i="24"/>
  <c r="D13" i="24"/>
  <c r="F12" i="24"/>
  <c r="G12" i="24" s="1"/>
  <c r="E12" i="24"/>
  <c r="D12" i="24"/>
  <c r="G11" i="24"/>
  <c r="F11" i="24"/>
  <c r="E11" i="24"/>
  <c r="D11" i="24"/>
  <c r="G10" i="24"/>
  <c r="F10" i="24"/>
  <c r="E10" i="24"/>
  <c r="D10" i="24"/>
  <c r="F9" i="24"/>
  <c r="G9" i="24" s="1"/>
  <c r="E9" i="24"/>
  <c r="D9" i="24"/>
  <c r="J8" i="24"/>
  <c r="J9" i="24" s="1"/>
  <c r="F8" i="24"/>
  <c r="G8" i="24" s="1"/>
  <c r="E8" i="24"/>
  <c r="D8" i="24"/>
  <c r="F7" i="24"/>
  <c r="G7" i="24" s="1"/>
  <c r="E7" i="24"/>
  <c r="D7" i="24"/>
  <c r="F6" i="24"/>
  <c r="G6" i="24" s="1"/>
  <c r="E6" i="24"/>
  <c r="D6" i="24"/>
  <c r="F5" i="24"/>
  <c r="G5" i="24" s="1"/>
  <c r="E5" i="24"/>
  <c r="D5" i="24"/>
  <c r="F4" i="24"/>
  <c r="G4" i="24" s="1"/>
  <c r="E4" i="24"/>
  <c r="D4" i="24"/>
  <c r="F3" i="24"/>
  <c r="G3" i="24" s="1"/>
  <c r="E3" i="24"/>
  <c r="D3" i="24"/>
  <c r="N13" i="21"/>
  <c r="N12" i="21"/>
  <c r="N11" i="21"/>
  <c r="N10" i="21"/>
  <c r="N9" i="21"/>
  <c r="N8" i="21"/>
  <c r="N7" i="21"/>
  <c r="N6" i="21"/>
  <c r="N5" i="21"/>
  <c r="N4" i="21"/>
  <c r="N3" i="21"/>
  <c r="M3" i="21"/>
  <c r="B10" i="15"/>
  <c r="C10" i="15"/>
  <c r="C3" i="15"/>
  <c r="C4" i="13"/>
  <c r="B4" i="13" s="1"/>
  <c r="C9" i="13" s="1"/>
  <c r="C3" i="13"/>
  <c r="B3" i="13" s="1"/>
  <c r="D106" i="11"/>
  <c r="D105" i="11"/>
  <c r="D104" i="11"/>
  <c r="D103" i="11"/>
  <c r="D102" i="11"/>
  <c r="D101" i="11"/>
  <c r="D10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3" i="11"/>
  <c r="D42" i="11"/>
  <c r="D41" i="11"/>
  <c r="D40" i="11"/>
  <c r="D39" i="11"/>
  <c r="D38" i="11"/>
  <c r="D37" i="11"/>
  <c r="D36" i="11"/>
  <c r="D35" i="11"/>
  <c r="D34" i="11"/>
  <c r="D33" i="11"/>
  <c r="D32" i="11"/>
  <c r="D31" i="11"/>
  <c r="D30" i="11"/>
  <c r="D29" i="11"/>
  <c r="D28" i="11"/>
  <c r="D27" i="11"/>
  <c r="D26" i="11"/>
  <c r="D25" i="11"/>
  <c r="D24" i="11"/>
  <c r="D23" i="11"/>
  <c r="D22" i="11"/>
  <c r="D21" i="11"/>
  <c r="D20" i="11"/>
  <c r="D19" i="11"/>
  <c r="D18" i="11"/>
  <c r="D17" i="11"/>
  <c r="D16" i="11"/>
  <c r="D15" i="11"/>
  <c r="D14" i="11"/>
  <c r="D13" i="11"/>
  <c r="D12" i="11"/>
  <c r="D11" i="11"/>
  <c r="D10" i="11"/>
  <c r="D9" i="11"/>
  <c r="D8" i="11"/>
  <c r="D7" i="11"/>
  <c r="D6" i="11"/>
  <c r="I14" i="9"/>
  <c r="G14" i="9"/>
  <c r="E15" i="9" s="1"/>
  <c r="I13" i="9"/>
  <c r="I12" i="9"/>
  <c r="I11" i="9"/>
  <c r="I10" i="9"/>
  <c r="I9" i="9"/>
  <c r="I8" i="9"/>
  <c r="I7" i="9"/>
  <c r="I6" i="9"/>
  <c r="I5" i="9"/>
  <c r="I4" i="9"/>
  <c r="I3" i="9"/>
  <c r="B5" i="13" l="1"/>
  <c r="B9" i="13"/>
  <c r="F107" i="11"/>
  <c r="G107" i="11" s="1"/>
  <c r="F15" i="9"/>
  <c r="I15" i="9" s="1"/>
  <c r="G8" i="29"/>
  <c r="D12" i="29"/>
  <c r="G15" i="9"/>
  <c r="F16" i="9" s="1"/>
  <c r="I16" i="9" s="1"/>
  <c r="J10" i="24"/>
  <c r="J11" i="24" s="1"/>
  <c r="J12" i="24" s="1"/>
  <c r="J13" i="24" s="1"/>
  <c r="C4" i="5"/>
  <c r="C16" i="5"/>
  <c r="C15" i="5"/>
  <c r="C5" i="5"/>
  <c r="B7" i="4"/>
  <c r="B11" i="4" s="1"/>
  <c r="C7" i="4"/>
  <c r="C6" i="4"/>
  <c r="C5" i="4"/>
  <c r="C16" i="4"/>
  <c r="C15" i="4"/>
  <c r="C4" i="4"/>
  <c r="C14" i="2"/>
  <c r="C15" i="2"/>
  <c r="C19" i="2"/>
  <c r="C5" i="2"/>
  <c r="C4" i="2"/>
  <c r="C16" i="3"/>
  <c r="C15" i="3"/>
  <c r="C21" i="3"/>
  <c r="C5" i="3"/>
  <c r="C4" i="3"/>
  <c r="E13" i="2"/>
  <c r="E5" i="2"/>
  <c r="E12" i="2"/>
  <c r="E10" i="2"/>
  <c r="B14" i="3"/>
  <c r="B25" i="3"/>
  <c r="E23" i="2"/>
  <c r="E19" i="5"/>
  <c r="E16" i="5"/>
  <c r="E13" i="5"/>
  <c r="B15" i="5"/>
  <c r="B16" i="2"/>
  <c r="E20" i="3"/>
  <c r="B15" i="3"/>
  <c r="E9" i="2"/>
  <c r="B16" i="5"/>
  <c r="B11" i="5"/>
  <c r="E6" i="2"/>
  <c r="E25" i="3"/>
  <c r="E24" i="5"/>
  <c r="E20" i="2"/>
  <c r="E26" i="5"/>
  <c r="E7" i="5"/>
  <c r="E8" i="2"/>
  <c r="B26" i="3"/>
  <c r="E15" i="2"/>
  <c r="E12" i="3"/>
  <c r="E5" i="3"/>
  <c r="E11" i="3"/>
  <c r="E8" i="5"/>
  <c r="E14" i="2"/>
  <c r="E16" i="2"/>
  <c r="E8" i="3"/>
  <c r="E21" i="5"/>
  <c r="B13" i="3"/>
  <c r="E17" i="5"/>
  <c r="B24" i="2"/>
  <c r="E11" i="5"/>
  <c r="E10" i="5"/>
  <c r="E22" i="2"/>
  <c r="E20" i="5"/>
  <c r="B12" i="3"/>
  <c r="E9" i="3"/>
  <c r="B13" i="5"/>
  <c r="B11" i="3"/>
  <c r="E25" i="2"/>
  <c r="E24" i="2"/>
  <c r="B12" i="2"/>
  <c r="E18" i="3"/>
  <c r="B10" i="2"/>
  <c r="E7" i="3"/>
  <c r="E17" i="2"/>
  <c r="E16" i="3"/>
  <c r="E11" i="2"/>
  <c r="E25" i="5"/>
  <c r="E14" i="3"/>
  <c r="E19" i="3"/>
  <c r="E22" i="3"/>
  <c r="E15" i="3"/>
  <c r="B23" i="2"/>
  <c r="B12" i="5"/>
  <c r="E23" i="5"/>
  <c r="B16" i="3"/>
  <c r="B11" i="2"/>
  <c r="B14" i="5"/>
  <c r="E19" i="2"/>
  <c r="B13" i="2"/>
  <c r="E21" i="2"/>
  <c r="E13" i="3"/>
  <c r="E27" i="5"/>
  <c r="E7" i="2"/>
  <c r="B27" i="3"/>
  <c r="E21" i="3"/>
  <c r="B17" i="5"/>
  <c r="B14" i="2"/>
  <c r="B15" i="2"/>
  <c r="B17" i="3"/>
  <c r="E14" i="5"/>
  <c r="B18" i="3"/>
  <c r="E6" i="3"/>
  <c r="E9" i="5"/>
  <c r="E15" i="5"/>
  <c r="E18" i="2"/>
  <c r="E24" i="3"/>
  <c r="E17" i="3"/>
  <c r="E23" i="3"/>
  <c r="E18" i="5"/>
  <c r="E22" i="5"/>
  <c r="E10" i="3"/>
  <c r="E12" i="5"/>
  <c r="H8" i="29" l="1"/>
  <c r="I8" i="29" s="1"/>
  <c r="J8" i="29"/>
  <c r="D13" i="29"/>
  <c r="G16" i="9"/>
  <c r="F17" i="9" s="1"/>
  <c r="I17" i="9" s="1"/>
  <c r="E16" i="9"/>
  <c r="B13" i="4"/>
  <c r="B15" i="4" s="1"/>
  <c r="B12" i="4"/>
  <c r="E28" i="5"/>
  <c r="B14" i="4"/>
  <c r="B16" i="4" s="1"/>
  <c r="E26" i="3"/>
  <c r="E27" i="2"/>
  <c r="G9" i="29" l="1"/>
  <c r="D14" i="29"/>
  <c r="G17" i="9"/>
  <c r="F18" i="9" s="1"/>
  <c r="I18" i="9" s="1"/>
  <c r="E17" i="9"/>
  <c r="H9" i="29" l="1"/>
  <c r="I9" i="29" s="1"/>
  <c r="J9" i="29"/>
  <c r="D15" i="29"/>
  <c r="E18" i="9"/>
  <c r="G18" i="9"/>
  <c r="F19" i="9" s="1"/>
  <c r="I19" i="9" s="1"/>
  <c r="G10" i="29" l="1"/>
  <c r="D16" i="29"/>
  <c r="G19" i="9"/>
  <c r="F20" i="9" s="1"/>
  <c r="I20" i="9" s="1"/>
  <c r="E19" i="9"/>
  <c r="H10" i="29" l="1"/>
  <c r="I10" i="29" s="1"/>
  <c r="J10" i="29"/>
  <c r="D17" i="29"/>
  <c r="E20" i="9"/>
  <c r="G20" i="9"/>
  <c r="F21" i="9" s="1"/>
  <c r="I21" i="9" s="1"/>
  <c r="G11" i="29" l="1"/>
  <c r="D18" i="29"/>
  <c r="G21" i="9"/>
  <c r="F22" i="9" s="1"/>
  <c r="I22" i="9" s="1"/>
  <c r="E21" i="9"/>
  <c r="H11" i="29" l="1"/>
  <c r="I11" i="29" s="1"/>
  <c r="J11" i="29"/>
  <c r="D19" i="29"/>
  <c r="G22" i="9"/>
  <c r="F23" i="9" s="1"/>
  <c r="I23" i="9" s="1"/>
  <c r="E22" i="9"/>
  <c r="G12" i="29" l="1"/>
  <c r="D20" i="29"/>
  <c r="G23" i="9"/>
  <c r="F24" i="9" s="1"/>
  <c r="I24" i="9" s="1"/>
  <c r="E23" i="9"/>
  <c r="H12" i="29" l="1"/>
  <c r="I12" i="29" s="1"/>
  <c r="J12" i="29"/>
  <c r="D21" i="29"/>
  <c r="G24" i="9"/>
  <c r="F25" i="9" s="1"/>
  <c r="I25" i="9" s="1"/>
  <c r="E24" i="9"/>
  <c r="G13" i="29" l="1"/>
  <c r="G25" i="9"/>
  <c r="F26" i="9" s="1"/>
  <c r="I26" i="9" s="1"/>
  <c r="E25" i="9"/>
  <c r="J13" i="29" l="1"/>
  <c r="H13" i="29"/>
  <c r="I13" i="29" s="1"/>
  <c r="E26" i="9"/>
  <c r="G26" i="9"/>
  <c r="F27" i="9" s="1"/>
  <c r="I27" i="9" s="1"/>
  <c r="G14" i="29" l="1"/>
  <c r="G27" i="9"/>
  <c r="F28" i="9" s="1"/>
  <c r="I28" i="9" s="1"/>
  <c r="E27" i="9"/>
  <c r="J14" i="29" l="1"/>
  <c r="H14" i="29"/>
  <c r="I14" i="29" s="1"/>
  <c r="E28" i="9"/>
  <c r="G28" i="9"/>
  <c r="F29" i="9" s="1"/>
  <c r="I29" i="9" s="1"/>
  <c r="G29" i="9" l="1"/>
  <c r="F30" i="9" s="1"/>
  <c r="I30" i="9" s="1"/>
  <c r="E29" i="9"/>
  <c r="H15" i="29" l="1"/>
  <c r="I15" i="29" s="1"/>
  <c r="J15" i="29"/>
  <c r="G30" i="9"/>
  <c r="F31" i="9" s="1"/>
  <c r="I31" i="9" s="1"/>
  <c r="E30" i="9"/>
  <c r="G16" i="29" l="1"/>
  <c r="G31" i="9"/>
  <c r="F32" i="9" s="1"/>
  <c r="I32" i="9" s="1"/>
  <c r="E31" i="9"/>
  <c r="H16" i="29" l="1"/>
  <c r="I16" i="29" s="1"/>
  <c r="J16" i="29"/>
  <c r="G32" i="9"/>
  <c r="F33" i="9" s="1"/>
  <c r="I33" i="9" s="1"/>
  <c r="E32" i="9"/>
  <c r="G17" i="29" l="1"/>
  <c r="G33" i="9"/>
  <c r="F34" i="9" s="1"/>
  <c r="I34" i="9" s="1"/>
  <c r="E33" i="9"/>
  <c r="J17" i="29" l="1"/>
  <c r="H17" i="29"/>
  <c r="I17" i="29" s="1"/>
  <c r="E34" i="9"/>
  <c r="G34" i="9"/>
  <c r="F35" i="9" s="1"/>
  <c r="I35" i="9" s="1"/>
  <c r="G18" i="29" l="1"/>
  <c r="G35" i="9"/>
  <c r="F36" i="9" s="1"/>
  <c r="I36" i="9" s="1"/>
  <c r="E35" i="9"/>
  <c r="J18" i="29" l="1"/>
  <c r="H18" i="29"/>
  <c r="I18" i="29" s="1"/>
  <c r="E36" i="9"/>
  <c r="G36" i="9"/>
  <c r="F37" i="9" s="1"/>
  <c r="I37" i="9" s="1"/>
  <c r="G19" i="29" l="1"/>
  <c r="G37" i="9"/>
  <c r="F38" i="9" s="1"/>
  <c r="I38" i="9" s="1"/>
  <c r="E37" i="9"/>
  <c r="H19" i="29" l="1"/>
  <c r="I19" i="29" s="1"/>
  <c r="J19" i="29"/>
  <c r="G38" i="9"/>
  <c r="F39" i="9" s="1"/>
  <c r="I39" i="9" s="1"/>
  <c r="E38" i="9"/>
  <c r="G20" i="29" l="1"/>
  <c r="G39" i="9"/>
  <c r="F40" i="9" s="1"/>
  <c r="I40" i="9" s="1"/>
  <c r="E39" i="9"/>
  <c r="H20" i="29" l="1"/>
  <c r="I20" i="29" s="1"/>
  <c r="J20" i="29"/>
  <c r="G40" i="9"/>
  <c r="F41" i="9" s="1"/>
  <c r="I41" i="9" s="1"/>
  <c r="E40" i="9"/>
  <c r="G21" i="29" l="1"/>
  <c r="G41" i="9"/>
  <c r="F42" i="9" s="1"/>
  <c r="I42" i="9" s="1"/>
  <c r="E41" i="9"/>
  <c r="J21" i="29" l="1"/>
  <c r="H21" i="29"/>
  <c r="I21" i="29" s="1"/>
  <c r="E42" i="9"/>
  <c r="G42" i="9"/>
  <c r="F43" i="9" s="1"/>
  <c r="I43" i="9" s="1"/>
  <c r="G43" i="9" l="1"/>
  <c r="F44" i="9" s="1"/>
  <c r="I44" i="9" s="1"/>
  <c r="E43" i="9"/>
  <c r="E44" i="9" l="1"/>
  <c r="G44" i="9"/>
  <c r="F45" i="9" s="1"/>
  <c r="I45" i="9" s="1"/>
  <c r="G45" i="9" l="1"/>
  <c r="F46" i="9" s="1"/>
  <c r="I46" i="9" s="1"/>
  <c r="E45" i="9"/>
  <c r="G46" i="9" l="1"/>
  <c r="F47" i="9" s="1"/>
  <c r="I47" i="9" s="1"/>
  <c r="E46" i="9"/>
  <c r="G47" i="9" l="1"/>
  <c r="F48" i="9" s="1"/>
  <c r="I48" i="9" s="1"/>
  <c r="E47" i="9"/>
  <c r="G48" i="9" l="1"/>
  <c r="F49" i="9" s="1"/>
  <c r="I49" i="9" s="1"/>
  <c r="E48" i="9"/>
  <c r="G49" i="9" l="1"/>
  <c r="F50" i="9" s="1"/>
  <c r="I50" i="9" s="1"/>
  <c r="E49" i="9"/>
  <c r="E50" i="9" l="1"/>
  <c r="G50" i="9"/>
  <c r="F51" i="9" s="1"/>
  <c r="I51" i="9" s="1"/>
  <c r="G51" i="9" l="1"/>
  <c r="F52" i="9" s="1"/>
  <c r="I52" i="9" s="1"/>
  <c r="E51" i="9"/>
  <c r="E52" i="9" l="1"/>
  <c r="G52" i="9"/>
  <c r="F53" i="9" s="1"/>
  <c r="I53" i="9" s="1"/>
  <c r="G53" i="9" l="1"/>
  <c r="F54" i="9" s="1"/>
  <c r="I54" i="9" s="1"/>
  <c r="E53" i="9"/>
  <c r="G54" i="9" l="1"/>
  <c r="F55" i="9" s="1"/>
  <c r="I55" i="9" s="1"/>
  <c r="E54" i="9"/>
  <c r="G55" i="9" l="1"/>
  <c r="F56" i="9" s="1"/>
  <c r="I56" i="9" s="1"/>
  <c r="E55" i="9"/>
  <c r="G56" i="9" l="1"/>
  <c r="F57" i="9" s="1"/>
  <c r="I57" i="9" s="1"/>
  <c r="E56" i="9"/>
  <c r="G57" i="9" l="1"/>
  <c r="F58" i="9" s="1"/>
  <c r="I58" i="9" s="1"/>
  <c r="E57" i="9"/>
  <c r="E58" i="9" l="1"/>
  <c r="G58" i="9"/>
  <c r="F59" i="9" s="1"/>
  <c r="I59" i="9" s="1"/>
  <c r="G59" i="9" l="1"/>
  <c r="F60" i="9" s="1"/>
  <c r="I60" i="9" s="1"/>
  <c r="E59" i="9"/>
  <c r="E60" i="9" l="1"/>
  <c r="G60" i="9"/>
  <c r="F61" i="9" s="1"/>
  <c r="I61" i="9" s="1"/>
  <c r="G61" i="9" l="1"/>
  <c r="F62" i="9" s="1"/>
  <c r="I62" i="9" s="1"/>
  <c r="E61" i="9"/>
  <c r="G62" i="9" l="1"/>
  <c r="F63" i="9" s="1"/>
  <c r="I63" i="9" s="1"/>
  <c r="E62" i="9"/>
  <c r="G63" i="9" l="1"/>
  <c r="F64" i="9" s="1"/>
  <c r="I64" i="9" s="1"/>
  <c r="E63" i="9"/>
  <c r="G64" i="9" l="1"/>
  <c r="F65" i="9" s="1"/>
  <c r="I65" i="9" s="1"/>
  <c r="E64" i="9"/>
  <c r="G65" i="9" l="1"/>
  <c r="F66" i="9" s="1"/>
  <c r="I66" i="9" s="1"/>
  <c r="E65" i="9"/>
  <c r="E66" i="9" l="1"/>
  <c r="G66" i="9"/>
  <c r="F67" i="9" s="1"/>
  <c r="I67" i="9" s="1"/>
  <c r="G67" i="9" l="1"/>
  <c r="F68" i="9" s="1"/>
  <c r="I68" i="9" s="1"/>
  <c r="E67" i="9"/>
  <c r="E68" i="9" l="1"/>
  <c r="G68" i="9"/>
  <c r="F69" i="9" s="1"/>
  <c r="I69" i="9" s="1"/>
  <c r="G69" i="9" l="1"/>
  <c r="F70" i="9" s="1"/>
  <c r="I70" i="9" s="1"/>
  <c r="E69" i="9"/>
  <c r="G70" i="9" l="1"/>
  <c r="F71" i="9" s="1"/>
  <c r="I71" i="9" s="1"/>
  <c r="E70" i="9"/>
  <c r="G71" i="9" l="1"/>
  <c r="F72" i="9" s="1"/>
  <c r="I72" i="9" s="1"/>
  <c r="E71" i="9"/>
  <c r="G72" i="9" l="1"/>
  <c r="F73" i="9" s="1"/>
  <c r="I73" i="9" s="1"/>
  <c r="E72" i="9"/>
  <c r="G73" i="9" l="1"/>
  <c r="F74" i="9" s="1"/>
  <c r="I74" i="9" s="1"/>
  <c r="E73" i="9"/>
  <c r="E74" i="9" l="1"/>
  <c r="G74" i="9"/>
  <c r="F75" i="9" s="1"/>
  <c r="I75" i="9" s="1"/>
  <c r="G75" i="9" l="1"/>
  <c r="F76" i="9" s="1"/>
  <c r="I76" i="9" s="1"/>
  <c r="E75" i="9"/>
  <c r="E76" i="9" l="1"/>
  <c r="G76" i="9"/>
  <c r="F77" i="9" s="1"/>
  <c r="I77" i="9" s="1"/>
  <c r="G77" i="9" l="1"/>
  <c r="F78" i="9" s="1"/>
  <c r="I78" i="9" s="1"/>
  <c r="E77" i="9"/>
  <c r="G78" i="9" l="1"/>
  <c r="F79" i="9" s="1"/>
  <c r="I79" i="9" s="1"/>
  <c r="E78" i="9"/>
  <c r="G79" i="9" l="1"/>
  <c r="F80" i="9" s="1"/>
  <c r="I80" i="9" s="1"/>
  <c r="E79" i="9"/>
  <c r="G80" i="9" l="1"/>
  <c r="F81" i="9" s="1"/>
  <c r="I81" i="9" s="1"/>
  <c r="E80" i="9"/>
  <c r="G81" i="9" l="1"/>
  <c r="F82" i="9" s="1"/>
  <c r="I82" i="9" s="1"/>
  <c r="E81" i="9"/>
  <c r="G82" i="9" l="1"/>
  <c r="F83" i="9" s="1"/>
  <c r="I83" i="9" s="1"/>
  <c r="E82" i="9"/>
  <c r="G83" i="9" l="1"/>
  <c r="F84" i="9" s="1"/>
  <c r="I84" i="9" s="1"/>
  <c r="E83" i="9"/>
  <c r="E84" i="9" l="1"/>
  <c r="G84" i="9"/>
  <c r="F85" i="9" s="1"/>
  <c r="I85" i="9" s="1"/>
  <c r="G85" i="9" l="1"/>
  <c r="F86" i="9" s="1"/>
  <c r="I86" i="9" s="1"/>
  <c r="E85" i="9"/>
  <c r="G86" i="9" l="1"/>
  <c r="F87" i="9" s="1"/>
  <c r="I87" i="9" s="1"/>
  <c r="E86" i="9"/>
  <c r="G87" i="9" l="1"/>
  <c r="F88" i="9" s="1"/>
  <c r="I88" i="9" s="1"/>
  <c r="E87" i="9"/>
  <c r="G88" i="9" l="1"/>
  <c r="F89" i="9" s="1"/>
  <c r="I89" i="9" s="1"/>
  <c r="E88" i="9"/>
  <c r="G89" i="9" l="1"/>
  <c r="F90" i="9" s="1"/>
  <c r="I90" i="9" s="1"/>
  <c r="E89" i="9"/>
  <c r="E90" i="9" l="1"/>
  <c r="G90" i="9"/>
  <c r="F91" i="9" s="1"/>
  <c r="I91" i="9" s="1"/>
  <c r="G91" i="9" l="1"/>
  <c r="F92" i="9" s="1"/>
  <c r="I92" i="9" s="1"/>
  <c r="E91" i="9"/>
  <c r="E92" i="9" l="1"/>
  <c r="G92" i="9"/>
  <c r="F93" i="9" s="1"/>
  <c r="I93" i="9" s="1"/>
  <c r="G93" i="9" l="1"/>
  <c r="F94" i="9" s="1"/>
  <c r="I94" i="9" s="1"/>
  <c r="E93" i="9"/>
  <c r="E94" i="9" l="1"/>
  <c r="G94" i="9"/>
  <c r="F95" i="9" s="1"/>
  <c r="I95" i="9" s="1"/>
  <c r="G95" i="9" l="1"/>
  <c r="F96" i="9" s="1"/>
  <c r="I96" i="9" s="1"/>
  <c r="E95" i="9"/>
  <c r="E96" i="9" l="1"/>
  <c r="G96" i="9"/>
  <c r="F97" i="9" s="1"/>
  <c r="I97" i="9" s="1"/>
  <c r="G97" i="9" l="1"/>
  <c r="F98" i="9" s="1"/>
  <c r="I98" i="9" s="1"/>
  <c r="E97" i="9"/>
  <c r="E98" i="9" l="1"/>
  <c r="G98" i="9"/>
</calcChain>
</file>

<file path=xl/comments1.xml><?xml version="1.0" encoding="utf-8"?>
<comments xmlns="http://schemas.openxmlformats.org/spreadsheetml/2006/main">
  <authors>
    <author>Faculty of Business</author>
  </authors>
  <commentList>
    <comment ref="B7" authorId="0" shapeId="0">
      <text>
        <r>
          <rPr>
            <b/>
            <sz val="8"/>
            <color indexed="81"/>
            <rFont val="Tahoma"/>
            <family val="2"/>
          </rPr>
          <t>This number excludes customers in service.
Enter INF for infinite queue length.</t>
        </r>
      </text>
    </comment>
    <comment ref="B26" authorId="0" shapeId="0">
      <text>
        <r>
          <rPr>
            <b/>
            <sz val="8"/>
            <color indexed="81"/>
            <rFont val="Tahoma"/>
            <family val="2"/>
          </rPr>
          <t>Assuming maximum queue length does not change.</t>
        </r>
      </text>
    </comment>
    <comment ref="B27" authorId="0" shapeId="0">
      <text>
        <r>
          <rPr>
            <b/>
            <sz val="8"/>
            <color indexed="81"/>
            <rFont val="Tahoma"/>
            <family val="2"/>
          </rPr>
          <t>Assuming system capacity (maximum queue length + number of servers) does not change.</t>
        </r>
      </text>
    </comment>
  </commentList>
</comments>
</file>

<file path=xl/sharedStrings.xml><?xml version="1.0" encoding="utf-8"?>
<sst xmlns="http://schemas.openxmlformats.org/spreadsheetml/2006/main" count="1029" uniqueCount="525">
  <si>
    <t xml:space="preserve">This workbook calculates performance measures for the following queueing models: </t>
  </si>
  <si>
    <t>Click on the worksheet tab of your choice and enter the required parameters.</t>
  </si>
  <si>
    <t>M/M/s Queueing Calculations</t>
  </si>
  <si>
    <t>Arrival Rate</t>
  </si>
  <si>
    <t>Service Rate</t>
  </si>
  <si>
    <t>Number of Servers</t>
  </si>
  <si>
    <t>Time Unit</t>
  </si>
  <si>
    <t>Utilization</t>
  </si>
  <si>
    <t>Lq, expected number in queue</t>
  </si>
  <si>
    <t>L, expected number in system</t>
  </si>
  <si>
    <t>Wq, expected time in queue</t>
  </si>
  <si>
    <t>W, expected total time in system</t>
  </si>
  <si>
    <t>Probability that customer waits</t>
  </si>
  <si>
    <t>Basic Parameters</t>
  </si>
  <si>
    <t>Basic Performance Measures</t>
  </si>
  <si>
    <t>Advanced Parameters</t>
  </si>
  <si>
    <t>Threshold time</t>
  </si>
  <si>
    <t>Advanced Performance Measures</t>
  </si>
  <si>
    <t>Number of servers required to achieve desired service level</t>
  </si>
  <si>
    <t>Current service level</t>
  </si>
  <si>
    <t>Desired service level</t>
  </si>
  <si>
    <t>P(0), probability that the system is empty</t>
  </si>
  <si>
    <t>hour</t>
  </si>
  <si>
    <t>Probability</t>
  </si>
  <si>
    <t>Number in system</t>
  </si>
  <si>
    <t>Total</t>
  </si>
  <si>
    <t>Maximum queue length</t>
  </si>
  <si>
    <t>Probability that a customer balks</t>
  </si>
  <si>
    <t>Number of servers required to achieve desired service level.</t>
  </si>
  <si>
    <t xml:space="preserve">     M/M/s</t>
  </si>
  <si>
    <t>M/M/s Finite Capacity Queueing Calculations</t>
  </si>
  <si>
    <t>Average service time</t>
  </si>
  <si>
    <t>Stdev. Service time</t>
  </si>
  <si>
    <t>Service rate (calculated)</t>
  </si>
  <si>
    <t>M/G/1 Queueing Calculations</t>
  </si>
  <si>
    <t xml:space="preserve">     M/G/1</t>
  </si>
  <si>
    <t>Population size</t>
  </si>
  <si>
    <t>State Probabilities</t>
  </si>
  <si>
    <t>Finite Population Queueing Calculations</t>
  </si>
  <si>
    <t xml:space="preserve">     M/M/s with finite arrival population (MMs finite pop)</t>
  </si>
  <si>
    <t xml:space="preserve">     M/M/s/s+C (M/M/s finite cap)</t>
  </si>
  <si>
    <t>Templates for Waiting Line Analysis</t>
  </si>
  <si>
    <t>The calculations in this workbook use special functions that are defined in this workbook.  If you wish to use these functions in another workbook, then save this workbook under another name.  The functions will be available in that new workbook (even if you delete some of the worksheets).</t>
  </si>
  <si>
    <t>© 1999-2019 by Armann Ingolfsson</t>
  </si>
  <si>
    <t>Average Number of Potholes Filled within Edmonton</t>
  </si>
  <si>
    <t>Year</t>
  </si>
  <si>
    <t>Month</t>
  </si>
  <si>
    <t># of Potholes Filled (in 1000s)</t>
  </si>
  <si>
    <t>January</t>
  </si>
  <si>
    <t>February</t>
  </si>
  <si>
    <t>March</t>
  </si>
  <si>
    <t>April</t>
  </si>
  <si>
    <t>May</t>
  </si>
  <si>
    <t>June</t>
  </si>
  <si>
    <t>July</t>
  </si>
  <si>
    <t>August</t>
  </si>
  <si>
    <t>September</t>
  </si>
  <si>
    <t>October</t>
  </si>
  <si>
    <t>November</t>
  </si>
  <si>
    <t>December</t>
  </si>
  <si>
    <t>TES Forecast</t>
  </si>
  <si>
    <t>Level</t>
  </si>
  <si>
    <t>Trend</t>
  </si>
  <si>
    <t xml:space="preserve">Seasonality </t>
  </si>
  <si>
    <t>LS</t>
  </si>
  <si>
    <t>Initialization</t>
  </si>
  <si>
    <t>TS</t>
  </si>
  <si>
    <t>SS</t>
  </si>
  <si>
    <t>Learning</t>
  </si>
  <si>
    <t>Prediction</t>
  </si>
  <si>
    <t>Window size</t>
  </si>
  <si>
    <t>w1</t>
  </si>
  <si>
    <t>w2</t>
  </si>
  <si>
    <t>w3</t>
  </si>
  <si>
    <t>Replication:</t>
  </si>
  <si>
    <t>&lt; Model for one replication</t>
  </si>
  <si>
    <t>RAND()</t>
  </si>
  <si>
    <t>Mean</t>
  </si>
  <si>
    <t>Std. dev.</t>
  </si>
  <si>
    <t>Col. #</t>
  </si>
  <si>
    <t>Jan demand:</t>
  </si>
  <si>
    <t>Feb demand:</t>
  </si>
  <si>
    <t>Jan demand higher?</t>
  </si>
  <si>
    <t>RAND()s for:</t>
  </si>
  <si>
    <t xml:space="preserve">Replication </t>
  </si>
  <si>
    <t>Jan demand</t>
  </si>
  <si>
    <t>Feb demand</t>
  </si>
  <si>
    <t>Remaining lifetime</t>
  </si>
  <si>
    <t>?</t>
  </si>
  <si>
    <t>Cost per year</t>
  </si>
  <si>
    <t xml:space="preserve">Location </t>
  </si>
  <si>
    <t xml:space="preserve">Variable Cost </t>
  </si>
  <si>
    <t>Capacity (000s)</t>
  </si>
  <si>
    <t>Minimum Production (000s)</t>
  </si>
  <si>
    <t>Fixed Cost</t>
  </si>
  <si>
    <t xml:space="preserve">Vancouver </t>
  </si>
  <si>
    <t xml:space="preserve">Edmonton </t>
  </si>
  <si>
    <t>Calgary</t>
  </si>
  <si>
    <t>Toronto</t>
  </si>
  <si>
    <t>Montreal</t>
  </si>
  <si>
    <t>Minimum Demand (000s)</t>
  </si>
  <si>
    <t>Maximum number of locations opened</t>
  </si>
  <si>
    <t>Production</t>
  </si>
  <si>
    <t>Open?</t>
  </si>
  <si>
    <t>Flow</t>
  </si>
  <si>
    <t>From</t>
  </si>
  <si>
    <t>To</t>
  </si>
  <si>
    <t>Capacity per Hour</t>
  </si>
  <si>
    <t>Capacity</t>
  </si>
  <si>
    <t>Node</t>
  </si>
  <si>
    <t>Supply</t>
  </si>
  <si>
    <t>Demand</t>
  </si>
  <si>
    <t>Number of Hours</t>
  </si>
  <si>
    <t>c1</t>
  </si>
  <si>
    <t>c2</t>
  </si>
  <si>
    <t>b</t>
  </si>
  <si>
    <t>e</t>
  </si>
  <si>
    <t>M</t>
  </si>
  <si>
    <t>Coordinates for line</t>
  </si>
  <si>
    <t>Loan #</t>
  </si>
  <si>
    <t>Loan amount</t>
  </si>
  <si>
    <t>Credit score</t>
  </si>
  <si>
    <t>Default?</t>
  </si>
  <si>
    <t>Misclassified?</t>
  </si>
  <si>
    <t>Default</t>
  </si>
  <si>
    <t>No default</t>
  </si>
  <si>
    <t>c1 * Loan amt + c2 * Credit score - M* Misclassified?</t>
  </si>
  <si>
    <t>b - e</t>
  </si>
  <si>
    <t>c1 * Loan amt + c2 * Credit score + M* Misclassified?</t>
  </si>
  <si>
    <t>b + e</t>
  </si>
  <si>
    <t>Errors in training set</t>
  </si>
  <si>
    <t>Confusion matrix</t>
  </si>
  <si>
    <t>Predicted default</t>
  </si>
  <si>
    <t>Predicted no default</t>
  </si>
  <si>
    <t>Actual default</t>
  </si>
  <si>
    <t>Actual no default</t>
  </si>
  <si>
    <t>Day</t>
  </si>
  <si>
    <t>If order were placed at the beginning of this day:</t>
  </si>
  <si>
    <t>Then order would be received at the end of this day:</t>
  </si>
  <si>
    <t>Leadtime demand</t>
  </si>
  <si>
    <t>Shortage</t>
  </si>
  <si>
    <t>LT</t>
  </si>
  <si>
    <t>days</t>
  </si>
  <si>
    <t>ROP</t>
  </si>
  <si>
    <t>units</t>
  </si>
  <si>
    <t>Q</t>
  </si>
  <si>
    <t>D</t>
  </si>
  <si>
    <t>units/year</t>
  </si>
  <si>
    <t>Number of order cycles</t>
  </si>
  <si>
    <t>per year</t>
  </si>
  <si>
    <t>Average shortage per cycle</t>
  </si>
  <si>
    <t>Sales</t>
  </si>
  <si>
    <t>Fill rate</t>
  </si>
  <si>
    <t>OM 352 Final Exam</t>
  </si>
  <si>
    <t xml:space="preserve">Student ID </t>
  </si>
  <si>
    <t>Question 1</t>
  </si>
  <si>
    <t>No response, a,b,c,d</t>
  </si>
  <si>
    <t>Question 2</t>
  </si>
  <si>
    <t>Question 3</t>
  </si>
  <si>
    <t>No response, a,b,c</t>
  </si>
  <si>
    <t>Question 4</t>
  </si>
  <si>
    <t>Question 5</t>
  </si>
  <si>
    <t>SMA-6</t>
  </si>
  <si>
    <t>Question 6</t>
  </si>
  <si>
    <t>Seasonality</t>
  </si>
  <si>
    <t>TES forecast</t>
  </si>
  <si>
    <t>Out-of-sample BIAS</t>
  </si>
  <si>
    <t>Question 7</t>
  </si>
  <si>
    <t>RMSE for 2020</t>
  </si>
  <si>
    <t>Monte Carlo simulation</t>
  </si>
  <si>
    <t>Question 8</t>
  </si>
  <si>
    <t>Question 9</t>
  </si>
  <si>
    <t>Question 10</t>
  </si>
  <si>
    <t>Question 11</t>
  </si>
  <si>
    <t xml:space="preserve">Replication 5 </t>
  </si>
  <si>
    <t>Replication 6</t>
  </si>
  <si>
    <t>Question 12</t>
  </si>
  <si>
    <t>Aggregate planning</t>
  </si>
  <si>
    <t>Question 13</t>
  </si>
  <si>
    <t>Question 14</t>
  </si>
  <si>
    <t>Question 15</t>
  </si>
  <si>
    <t>Question 16</t>
  </si>
  <si>
    <t>Question 17</t>
  </si>
  <si>
    <t>Question 18</t>
  </si>
  <si>
    <t>Question 19</t>
  </si>
  <si>
    <t>Question 20</t>
  </si>
  <si>
    <t>Question 21</t>
  </si>
  <si>
    <t>Distribution planning</t>
  </si>
  <si>
    <t>Question 22</t>
  </si>
  <si>
    <t>Predictive analytics</t>
  </si>
  <si>
    <t>Question 23</t>
  </si>
  <si>
    <t>Question 24</t>
  </si>
  <si>
    <t>Inventory management</t>
  </si>
  <si>
    <t>Question 25</t>
  </si>
  <si>
    <t>Question 26</t>
  </si>
  <si>
    <t>Question 27</t>
  </si>
  <si>
    <t>Question 28</t>
  </si>
  <si>
    <t>Question 29</t>
  </si>
  <si>
    <t>Question 30</t>
  </si>
  <si>
    <t>Congestion management</t>
  </si>
  <si>
    <t>Question 31</t>
  </si>
  <si>
    <t>Question 32</t>
  </si>
  <si>
    <t>Arrival rate</t>
  </si>
  <si>
    <t>Service rate</t>
  </si>
  <si>
    <t>Number of servers</t>
  </si>
  <si>
    <t>Std. dev. service times</t>
  </si>
  <si>
    <t>Question 33</t>
  </si>
  <si>
    <t>Question 34</t>
  </si>
  <si>
    <t>Cell references</t>
  </si>
  <si>
    <t>Forecasting</t>
  </si>
  <si>
    <r>
      <t>Complete this column if you think</t>
    </r>
    <r>
      <rPr>
        <b/>
        <sz val="11"/>
        <rFont val="Arial"/>
        <family val="2"/>
      </rPr>
      <t xml:space="preserve"> "MMs"</t>
    </r>
    <r>
      <rPr>
        <sz val="11"/>
        <rFont val="Arial"/>
        <family val="2"/>
      </rPr>
      <t xml:space="preserve"> is the correct template</t>
    </r>
  </si>
  <si>
    <r>
      <t xml:space="preserve">Complete this column if you think </t>
    </r>
    <r>
      <rPr>
        <b/>
        <sz val="11"/>
        <rFont val="Arial"/>
        <family val="2"/>
      </rPr>
      <t>"MMs finite cap"</t>
    </r>
    <r>
      <rPr>
        <sz val="11"/>
        <rFont val="Arial"/>
        <family val="2"/>
      </rPr>
      <t xml:space="preserve"> is the correct template</t>
    </r>
  </si>
  <si>
    <r>
      <t>Complete this column if you think "</t>
    </r>
    <r>
      <rPr>
        <b/>
        <sz val="11"/>
        <rFont val="Arial"/>
        <family val="2"/>
      </rPr>
      <t>MMs finite pop"</t>
    </r>
    <r>
      <rPr>
        <sz val="11"/>
        <rFont val="Arial"/>
        <family val="2"/>
      </rPr>
      <t xml:space="preserve"> is the correct template</t>
    </r>
  </si>
  <si>
    <r>
      <t xml:space="preserve">Complete this column if you think </t>
    </r>
    <r>
      <rPr>
        <b/>
        <sz val="11"/>
        <rFont val="Arial"/>
        <family val="2"/>
      </rPr>
      <t>"MG1"</t>
    </r>
    <r>
      <rPr>
        <sz val="11"/>
        <rFont val="Arial"/>
        <family val="2"/>
      </rPr>
      <t xml:space="preserve"> is the correct template</t>
    </r>
  </si>
  <si>
    <t>Lunch Hour at an ABM</t>
  </si>
  <si>
    <r>
      <t>Avg. arrivals rate (</t>
    </r>
    <r>
      <rPr>
        <sz val="10"/>
        <rFont val="Symbol"/>
        <family val="1"/>
        <charset val="2"/>
      </rPr>
      <t>l</t>
    </r>
    <r>
      <rPr>
        <sz val="10"/>
        <rFont val="Arial"/>
        <family val="2"/>
      </rPr>
      <t>):</t>
    </r>
  </si>
  <si>
    <t>per hr.</t>
  </si>
  <si>
    <t>Avg. service time:</t>
  </si>
  <si>
    <t>hrs.</t>
  </si>
  <si>
    <t>Std. dev. of service times:</t>
  </si>
  <si>
    <r>
      <t>Avg. service rate (</t>
    </r>
    <r>
      <rPr>
        <sz val="10"/>
        <rFont val="Symbol"/>
        <family val="1"/>
        <charset val="2"/>
      </rPr>
      <t>m</t>
    </r>
    <r>
      <rPr>
        <sz val="10"/>
        <rFont val="Arial"/>
        <family val="2"/>
      </rPr>
      <t>):</t>
    </r>
  </si>
  <si>
    <t>RAND() for inter-arrival time</t>
  </si>
  <si>
    <t>RAND() for service time</t>
  </si>
  <si>
    <t>Customer number</t>
  </si>
  <si>
    <t>Arrival time</t>
  </si>
  <si>
    <t>Inter-arrival time</t>
  </si>
  <si>
    <t>Service time</t>
  </si>
  <si>
    <t>Start time</t>
  </si>
  <si>
    <t>Finish time</t>
  </si>
  <si>
    <t>Time in system</t>
  </si>
  <si>
    <t>Waiting time</t>
  </si>
  <si>
    <t># of years owning the car</t>
  </si>
  <si>
    <t>gates must be open</t>
  </si>
  <si>
    <t>Q*</t>
  </si>
  <si>
    <t>ROP*</t>
  </si>
  <si>
    <t>Total ownership cost</t>
  </si>
  <si>
    <t>Arrival rate per customer</t>
  </si>
  <si>
    <t>Total fixed cost</t>
  </si>
  <si>
    <t>Total variable cost</t>
  </si>
  <si>
    <t>Minimum number of hours</t>
  </si>
  <si>
    <t>gates should be open</t>
  </si>
  <si>
    <t>Student ID</t>
  </si>
  <si>
    <t>Q1</t>
  </si>
  <si>
    <t>Q2</t>
  </si>
  <si>
    <t>Q3</t>
  </si>
  <si>
    <t>Q4</t>
  </si>
  <si>
    <t>Q5 - SMA-6 - Jan</t>
  </si>
  <si>
    <t>Q5 - SMA-6 - Feb</t>
  </si>
  <si>
    <t>Q5 - SMA-6 - Mar</t>
  </si>
  <si>
    <t>Q5 - SMA-6 - Apr</t>
  </si>
  <si>
    <t>Q5 - SMA-6 - May</t>
  </si>
  <si>
    <t>Q5 - SMA-6 - Jun</t>
  </si>
  <si>
    <t>Q5 - SMA-6 - Jul</t>
  </si>
  <si>
    <t>Q5 - SMA-6 - Aug</t>
  </si>
  <si>
    <t>Q6 - Dec 2019 Level</t>
  </si>
  <si>
    <t>Q6 - Dec 2019 Trend</t>
  </si>
  <si>
    <t>Q6 - Jan 2019 Seasonality</t>
  </si>
  <si>
    <t>Q6 - Feb 2019 Seasonality</t>
  </si>
  <si>
    <t>Q6 - Mar 2019 Seasonality</t>
  </si>
  <si>
    <t>Q6 - Apr 2019 Seasonality</t>
  </si>
  <si>
    <t>Q6 - May 2019 Seasonality</t>
  </si>
  <si>
    <t>Q6 - Jun 2019 Seasonality</t>
  </si>
  <si>
    <t>Q6 - Jul 2019 Seasonality</t>
  </si>
  <si>
    <t>Q6 - Aug 2019 Seasonality</t>
  </si>
  <si>
    <t>Q6 - Sep 2019 Seasonality</t>
  </si>
  <si>
    <t>Q6 - Oct 2019 Seasonality</t>
  </si>
  <si>
    <t>Q6 - Nov 2019 Seasonality</t>
  </si>
  <si>
    <t>Q6 - Dec 2019 Seasonality</t>
  </si>
  <si>
    <t>Q6 - Jan 2020 TES forecast</t>
  </si>
  <si>
    <t>Q6 - Feb 2020 TES forecast</t>
  </si>
  <si>
    <t>Q6 - Mar 2020 TES forecast</t>
  </si>
  <si>
    <t>Q6 - Apr 2020 TES forecast</t>
  </si>
  <si>
    <t>Q6 - May 2020 TES forecast</t>
  </si>
  <si>
    <t>Q6 - Jun 2020 TES forecast</t>
  </si>
  <si>
    <t>Q6 - Jul 2020 TES forecast</t>
  </si>
  <si>
    <t>Q6 - Aug 2020 TES forecast</t>
  </si>
  <si>
    <t>Q6 - Out-of-sample BIAS</t>
  </si>
  <si>
    <t>Q7 - w1</t>
  </si>
  <si>
    <t>Q7 - w2</t>
  </si>
  <si>
    <t>Q7 - w3</t>
  </si>
  <si>
    <t>Q7 - RMSE for 2020</t>
  </si>
  <si>
    <t>Q8</t>
  </si>
  <si>
    <t>Q9 - Jan demand</t>
  </si>
  <si>
    <t>Q9 - Feb demand</t>
  </si>
  <si>
    <t>Q10</t>
  </si>
  <si>
    <t>Q11 - Replication 5</t>
  </si>
  <si>
    <t>Q11 - Replication 6</t>
  </si>
  <si>
    <t>Q12 - Replication 5</t>
  </si>
  <si>
    <t>Q12 - Replication 6</t>
  </si>
  <si>
    <t>Q13</t>
  </si>
  <si>
    <t>Q14</t>
  </si>
  <si>
    <t>Q15</t>
  </si>
  <si>
    <t>Q16</t>
  </si>
  <si>
    <t>Q17</t>
  </si>
  <si>
    <t>Q18</t>
  </si>
  <si>
    <t>Q19</t>
  </si>
  <si>
    <t>Q20</t>
  </si>
  <si>
    <t>Q21 - Vancouver Production</t>
  </si>
  <si>
    <t>Q21 - Edmonton Production</t>
  </si>
  <si>
    <t>Q21 - Calgary Production</t>
  </si>
  <si>
    <t>Q21 - Toronto Production</t>
  </si>
  <si>
    <t>Q21 - Montreal Production</t>
  </si>
  <si>
    <t>Q21 - Vancouver Open?</t>
  </si>
  <si>
    <t>Q21 - Edmonton Open?</t>
  </si>
  <si>
    <t>Q21 - Calgary Open?</t>
  </si>
  <si>
    <t>Q21 - Toronto Open?</t>
  </si>
  <si>
    <t>Q21 - Montreal Open?</t>
  </si>
  <si>
    <t>Q21 - Total fixed cost</t>
  </si>
  <si>
    <t>Q21 - Total variable cost</t>
  </si>
  <si>
    <t>Q22 - Min number of hours</t>
  </si>
  <si>
    <t>Q22 - Flow 1</t>
  </si>
  <si>
    <t>Q22 - Flow 2</t>
  </si>
  <si>
    <t>Q22 - Flow 3</t>
  </si>
  <si>
    <t>Q22 - Flow 4</t>
  </si>
  <si>
    <t>Q22 - Flow 5</t>
  </si>
  <si>
    <t>Q22 - Flow 6</t>
  </si>
  <si>
    <t>Q22 - Flow 7</t>
  </si>
  <si>
    <t>Q22 - Flow 8</t>
  </si>
  <si>
    <t>Q22 - Flow 9</t>
  </si>
  <si>
    <t>Q22 - Flow 10</t>
  </si>
  <si>
    <t>Q22 - Flow 11</t>
  </si>
  <si>
    <t>Q22 - Flow 12</t>
  </si>
  <si>
    <t>Q22 - Flow 13</t>
  </si>
  <si>
    <t>Q22 - Flow 14</t>
  </si>
  <si>
    <t>Q22 - Flow 15</t>
  </si>
  <si>
    <t>Q22 - Flow 16</t>
  </si>
  <si>
    <t>Q22 - Flow 17</t>
  </si>
  <si>
    <t>Q22 - Flow 18</t>
  </si>
  <si>
    <t>Q22 - Flow 19</t>
  </si>
  <si>
    <t>Q22 - Flow 20</t>
  </si>
  <si>
    <t>Q22 - Flow 21</t>
  </si>
  <si>
    <t>Q22 - Flow 22</t>
  </si>
  <si>
    <t>Q22 - Flow 23</t>
  </si>
  <si>
    <t>Q22 - Flow 24</t>
  </si>
  <si>
    <t>Q22 - Flow 25</t>
  </si>
  <si>
    <t>Q22 - Flow 26</t>
  </si>
  <si>
    <t>Q22 - Flow 27</t>
  </si>
  <si>
    <t>Q22 - Flow 28</t>
  </si>
  <si>
    <t>Q22 - Flow 29</t>
  </si>
  <si>
    <t>Q22 - Flow 30</t>
  </si>
  <si>
    <t>Q22 - Flow 31</t>
  </si>
  <si>
    <t>Q22 - Flow 32</t>
  </si>
  <si>
    <t>Q22 - Flow 33</t>
  </si>
  <si>
    <t>Q22 - Flow 34</t>
  </si>
  <si>
    <t>Q22 - Flow 35</t>
  </si>
  <si>
    <t>Q22 - Flow 36</t>
  </si>
  <si>
    <t>Q22 - Flow 37</t>
  </si>
  <si>
    <t>Q22 - Flow 38</t>
  </si>
  <si>
    <t>Q22 - Flow 39</t>
  </si>
  <si>
    <t>Q22 - Flow 40</t>
  </si>
  <si>
    <t>Q22 - Flow 41</t>
  </si>
  <si>
    <t>Q22 - Flow 42</t>
  </si>
  <si>
    <t>Q22 - Flow 43</t>
  </si>
  <si>
    <t>Q22 - Flow 44</t>
  </si>
  <si>
    <t>Q22 - Flow 45</t>
  </si>
  <si>
    <t>Q22 - Flow 46</t>
  </si>
  <si>
    <t>Q22 - Flow 47</t>
  </si>
  <si>
    <t>Q22 - Flow 48</t>
  </si>
  <si>
    <t>Q22 - Flow 49</t>
  </si>
  <si>
    <t>Q22 - Flow 50</t>
  </si>
  <si>
    <t>Q22 - Flow 51</t>
  </si>
  <si>
    <t>Q22 - Flow 52</t>
  </si>
  <si>
    <t>Q22 - Flow 53</t>
  </si>
  <si>
    <t>Q22 - Flow 54</t>
  </si>
  <si>
    <t>Q22 - Flow 55</t>
  </si>
  <si>
    <t>Q22 - Flow 56</t>
  </si>
  <si>
    <t>Q22 - Flow 57</t>
  </si>
  <si>
    <t>Q22 - Flow 58</t>
  </si>
  <si>
    <t>Q22 - Flow 59</t>
  </si>
  <si>
    <t>Q22 - Flow 60</t>
  </si>
  <si>
    <t>Q22 - Flow 61</t>
  </si>
  <si>
    <t>Q22 - Flow 62</t>
  </si>
  <si>
    <t>Q22 - Flow 63</t>
  </si>
  <si>
    <t>Q22 - Flow 64</t>
  </si>
  <si>
    <t>Q22 - Flow 65</t>
  </si>
  <si>
    <t>Q22 - Flow 66</t>
  </si>
  <si>
    <t>Q22 - Capacity 1</t>
  </si>
  <si>
    <t>Q22 - Capacity 2</t>
  </si>
  <si>
    <t>Q22 - Capacity 3</t>
  </si>
  <si>
    <t>Q22 - Capacity 4</t>
  </si>
  <si>
    <t>Q22 - Capacity 5</t>
  </si>
  <si>
    <t>Q22 - Capacity 6</t>
  </si>
  <si>
    <t>Q22 - Capacity 7</t>
  </si>
  <si>
    <t>Q22 - Capacity 8</t>
  </si>
  <si>
    <t>Q22 - Capacity 9</t>
  </si>
  <si>
    <t>Q22 - Capacity 10</t>
  </si>
  <si>
    <t>Q22 - Capacity 11</t>
  </si>
  <si>
    <t>Q22 - Capacity 12</t>
  </si>
  <si>
    <t>Q22 - Capacity 13</t>
  </si>
  <si>
    <t>Q22 - Capacity 14</t>
  </si>
  <si>
    <t>Q22 - Capacity 15</t>
  </si>
  <si>
    <t>Q22 - Capacity 16</t>
  </si>
  <si>
    <t>Q22 - Capacity 17</t>
  </si>
  <si>
    <t>Q22 - Capacity 18</t>
  </si>
  <si>
    <t>Q22 - Capacity 19</t>
  </si>
  <si>
    <t>Q22 - Capacity 20</t>
  </si>
  <si>
    <t>Q22 - Capacity 21</t>
  </si>
  <si>
    <t>Q22 - Capacity 22</t>
  </si>
  <si>
    <t>Q22 - Capacity 23</t>
  </si>
  <si>
    <t>Q22 - Capacity 24</t>
  </si>
  <si>
    <t>Q22 - Capacity 25</t>
  </si>
  <si>
    <t>Q22 - Capacity 26</t>
  </si>
  <si>
    <t>Q22 - Capacity 27</t>
  </si>
  <si>
    <t>Q22 - Capacity 28</t>
  </si>
  <si>
    <t>Q22 - Capacity 29</t>
  </si>
  <si>
    <t>Q22 - Capacity 30</t>
  </si>
  <si>
    <t>Q22 - Capacity 31</t>
  </si>
  <si>
    <t>Q22 - Capacity 32</t>
  </si>
  <si>
    <t>Q22 - Capacity 33</t>
  </si>
  <si>
    <t>Q22 - Capacity 34</t>
  </si>
  <si>
    <t>Q22 - Capacity 35</t>
  </si>
  <si>
    <t>Q22 - Capacity 36</t>
  </si>
  <si>
    <t>Q22 - Capacity 37</t>
  </si>
  <si>
    <t>Q22 - Capacity 38</t>
  </si>
  <si>
    <t>Q22 - Capacity 39</t>
  </si>
  <si>
    <t>Q22 - Capacity 40</t>
  </si>
  <si>
    <t>Q22 - Capacity 41</t>
  </si>
  <si>
    <t>Q22 - Capacity 42</t>
  </si>
  <si>
    <t>Q22 - Capacity 43</t>
  </si>
  <si>
    <t>Q22 - Capacity 44</t>
  </si>
  <si>
    <t>Q22 - Capacity 45</t>
  </si>
  <si>
    <t>Q22 - Capacity 46</t>
  </si>
  <si>
    <t>Q22 - Capacity 47</t>
  </si>
  <si>
    <t>Q22 - Capacity 48</t>
  </si>
  <si>
    <t>Q22 - Capacity 49</t>
  </si>
  <si>
    <t>Q22 - Capacity 50</t>
  </si>
  <si>
    <t>Q22 - Capacity 51</t>
  </si>
  <si>
    <t>Q22 - Capacity 52</t>
  </si>
  <si>
    <t>Q22 - Capacity 53</t>
  </si>
  <si>
    <t>Q22 - Capacity 54</t>
  </si>
  <si>
    <t>Q22 - Capacity 55</t>
  </si>
  <si>
    <t>Q22 - Capacity 56</t>
  </si>
  <si>
    <t>Q22 - Capacity 57</t>
  </si>
  <si>
    <t>Q22 - Capacity 58</t>
  </si>
  <si>
    <t>Q22 - Capacity 59</t>
  </si>
  <si>
    <t>Q22 - Capacity 60</t>
  </si>
  <si>
    <t>Q22 - Capacity 61</t>
  </si>
  <si>
    <t>Q22 - Capacity 62</t>
  </si>
  <si>
    <t>Q22 - Capacity 63</t>
  </si>
  <si>
    <t>Q22 - Capacity 64</t>
  </si>
  <si>
    <t>Q22 - Capacity 65</t>
  </si>
  <si>
    <t>Q22 - Capacity 66</t>
  </si>
  <si>
    <t>Q23 - Actual default, predicted default</t>
  </si>
  <si>
    <t>Q23 - Actual no default, predicted default</t>
  </si>
  <si>
    <t>Q23 -Actual default, Predicted no default</t>
  </si>
  <si>
    <t>Q23 - Actual no default, predicted no default</t>
  </si>
  <si>
    <t>Q24 - c1</t>
  </si>
  <si>
    <t>Q24 - c2</t>
  </si>
  <si>
    <t>Q24 - b</t>
  </si>
  <si>
    <t>Q24 - Misclassified? 1</t>
  </si>
  <si>
    <t>Q24 - Misclassified? 2</t>
  </si>
  <si>
    <t>Q24 - Misclassified? 3</t>
  </si>
  <si>
    <t>Q24 - Misclassified? 4</t>
  </si>
  <si>
    <t>Q24 - Misclassified? 5</t>
  </si>
  <si>
    <t>Q24 - Misclassified? 6</t>
  </si>
  <si>
    <t>Q24 - Misclassified? 7</t>
  </si>
  <si>
    <t>Q24 - Misclassified? 8</t>
  </si>
  <si>
    <t>Q24 - Misclassified? 9</t>
  </si>
  <si>
    <t>Q24 - Misclassified? 10</t>
  </si>
  <si>
    <t>Q24 - Misclassified? 11</t>
  </si>
  <si>
    <t>Q24 - Misclassified? 12</t>
  </si>
  <si>
    <t>Q24 - Misclassified? 13</t>
  </si>
  <si>
    <t>Q24 - Misclassified? 14</t>
  </si>
  <si>
    <t>Q24 - Misclassified? 15</t>
  </si>
  <si>
    <t>Q24 - Misclassified? 16</t>
  </si>
  <si>
    <t>Q24 - Misclassified? 17</t>
  </si>
  <si>
    <t>Q24 - Misclassified? 18</t>
  </si>
  <si>
    <t>Q24 - Misclassified? 19</t>
  </si>
  <si>
    <t>Q24 - Misclassified? 20</t>
  </si>
  <si>
    <t xml:space="preserve">Q24 - Errors in the training set </t>
  </si>
  <si>
    <t>Q25 - Q*</t>
  </si>
  <si>
    <t>Q25 - ROP*</t>
  </si>
  <si>
    <t>Q26</t>
  </si>
  <si>
    <t>Q27</t>
  </si>
  <si>
    <t>Q28</t>
  </si>
  <si>
    <t>Q29</t>
  </si>
  <si>
    <t>Q30</t>
  </si>
  <si>
    <t>Q31</t>
  </si>
  <si>
    <t>Q32 - MMs - Arrival rate</t>
  </si>
  <si>
    <t>Q32 - MMs - Service rate</t>
  </si>
  <si>
    <t>Q32 - MMs - Number of servers</t>
  </si>
  <si>
    <t>Q32 - MMs finite cap - Arrival rate</t>
  </si>
  <si>
    <t>Q32 - MMs finite cap - Service rate</t>
  </si>
  <si>
    <t>Q32 - MMs finite cap - Number of servers</t>
  </si>
  <si>
    <t>Q32 - MMs finite cap - Max queue length</t>
  </si>
  <si>
    <t>Q32 - MMs finite pop - Arrival rate per customer</t>
  </si>
  <si>
    <t>Q32 - MMs finite cap - Population size</t>
  </si>
  <si>
    <t>Q32 - MG1 - Arrival rate</t>
  </si>
  <si>
    <t>Q32 - MG1 - Avg service time</t>
  </si>
  <si>
    <t>Q32 - MG1 - Std. dev. Service times</t>
  </si>
  <si>
    <t>Q33</t>
  </si>
  <si>
    <t>Q34 - Cell 1</t>
  </si>
  <si>
    <t>Q34 - Cell 2</t>
  </si>
  <si>
    <t>Q34 - Cell 3</t>
  </si>
  <si>
    <t>Q34 - Cell 4</t>
  </si>
  <si>
    <t>Q34 - Cell 5</t>
  </si>
  <si>
    <t xml:space="preserve">No response </t>
  </si>
  <si>
    <t>a</t>
  </si>
  <si>
    <t>c</t>
  </si>
  <si>
    <t>d</t>
  </si>
  <si>
    <t>Error</t>
  </si>
  <si>
    <t>outofsampleBIAS</t>
  </si>
  <si>
    <t>MSE</t>
  </si>
  <si>
    <t>RMSE</t>
  </si>
  <si>
    <t>Plan</t>
  </si>
  <si>
    <t>open?</t>
  </si>
  <si>
    <t>lower</t>
  </si>
  <si>
    <t>upper</t>
  </si>
  <si>
    <t>total</t>
  </si>
  <si>
    <t>Fixed cost</t>
  </si>
  <si>
    <t>Variable cost</t>
  </si>
  <si>
    <t>total cost</t>
  </si>
  <si>
    <t>Flow in</t>
  </si>
  <si>
    <t>Flow out</t>
  </si>
  <si>
    <t>Flow in +   Supply</t>
  </si>
  <si>
    <t>Flow out + Demand</t>
  </si>
  <si>
    <t>Hours</t>
  </si>
  <si>
    <t>Confusion Matrix</t>
  </si>
  <si>
    <t>Classified as:</t>
  </si>
  <si>
    <t>Real class</t>
  </si>
  <si>
    <t>No Default</t>
  </si>
  <si>
    <t>Misclassified</t>
  </si>
  <si>
    <t>errors</t>
  </si>
  <si>
    <t>E8</t>
  </si>
  <si>
    <t>G15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</si>
</sst>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6" formatCode="&quot;$&quot;#,##0_);[Red]\(&quot;$&quot;#,##0\)"/>
    <numFmt numFmtId="44" formatCode="_(&quot;$&quot;* #,##0.00_);_(&quot;$&quot;* \(#,##0.00\);_(&quot;$&quot;* &quot;-&quot;??_);_(@_)"/>
    <numFmt numFmtId="43" formatCode="_(* #,##0.00_);_(* \(#,##0.00\);_(* &quot;-&quot;??_);_(@_)"/>
    <numFmt numFmtId="164" formatCode="_-* #,##0.00_-;\-* #,##0.00_-;_-* &quot;-&quot;??_-;_-@_-"/>
    <numFmt numFmtId="165" formatCode="0.0000"/>
    <numFmt numFmtId="166" formatCode="0.0%"/>
    <numFmt numFmtId="167" formatCode="#,##0;#\-#,##0;\-"/>
    <numFmt numFmtId="168" formatCode="_-* #,##0_-;\-* #,##0_-;_-* &quot;-&quot;??_-;_-@_-"/>
    <numFmt numFmtId="169" formatCode="#,##0;#.\-###0;\-"/>
    <numFmt numFmtId="170" formatCode="0.000"/>
    <numFmt numFmtId="171" formatCode="_(&quot;$&quot;* #,##0_);_(&quot;$&quot;* \(#,##0\);_(&quot;$&quot;* &quot;-&quot;??_);_(@_)"/>
    <numFmt numFmtId="172" formatCode="0.0"/>
  </numFmts>
  <fonts count="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b/>
      <sz val="10"/>
      <color indexed="17"/>
      <name val="Arial"/>
      <family val="2"/>
    </font>
    <font>
      <sz val="9"/>
      <name val="Arial"/>
      <family val="2"/>
    </font>
    <font>
      <sz val="12"/>
      <name val="Arial"/>
      <family val="2"/>
    </font>
    <font>
      <b/>
      <sz val="16"/>
      <name val="Arial"/>
      <family val="2"/>
    </font>
    <font>
      <b/>
      <sz val="8"/>
      <color indexed="81"/>
      <name val="Tahoma"/>
      <family val="2"/>
    </font>
    <font>
      <sz val="11"/>
      <color rgb="FFFF0000"/>
      <name val="Calibri"/>
      <family val="2"/>
      <scheme val="minor"/>
    </font>
    <font>
      <b/>
      <sz val="11"/>
      <color theme="1"/>
      <name val="Calibri"/>
      <family val="2"/>
      <scheme val="minor"/>
    </font>
    <font>
      <b/>
      <sz val="11"/>
      <color rgb="FF00B050"/>
      <name val="Calibri"/>
      <family val="2"/>
      <scheme val="minor"/>
    </font>
    <font>
      <sz val="12"/>
      <color theme="1"/>
      <name val="Calibri"/>
      <family val="2"/>
      <scheme val="minor"/>
    </font>
    <font>
      <b/>
      <sz val="12"/>
      <color rgb="FF00B050"/>
      <name val="Calibri"/>
      <family val="2"/>
      <scheme val="minor"/>
    </font>
    <font>
      <b/>
      <sz val="12"/>
      <color theme="1"/>
      <name val="Calibri"/>
      <family val="2"/>
      <scheme val="minor"/>
    </font>
    <font>
      <b/>
      <sz val="10"/>
      <color rgb="FF00B050"/>
      <name val="Arial"/>
      <family val="2"/>
    </font>
    <font>
      <b/>
      <sz val="11"/>
      <color rgb="FFFF0000"/>
      <name val="Calibri"/>
      <family val="2"/>
      <scheme val="minor"/>
    </font>
    <font>
      <sz val="11"/>
      <name val="Arial"/>
      <family val="2"/>
    </font>
    <font>
      <b/>
      <sz val="11"/>
      <name val="Arial"/>
      <family val="2"/>
    </font>
    <font>
      <sz val="11"/>
      <color rgb="FF000000"/>
      <name val="Arial"/>
      <family val="2"/>
    </font>
    <font>
      <sz val="10"/>
      <name val="Symbol"/>
      <family val="1"/>
      <charset val="2"/>
    </font>
    <font>
      <sz val="10"/>
      <color rgb="FFFF0000"/>
      <name val="Arial"/>
      <family val="2"/>
    </font>
    <font>
      <sz val="8"/>
      <name val="Arial"/>
      <family val="2"/>
    </font>
  </fonts>
  <fills count="10">
    <fill>
      <patternFill patternType="none"/>
    </fill>
    <fill>
      <patternFill patternType="gray125"/>
    </fill>
    <fill>
      <patternFill patternType="solid">
        <fgColor indexed="47"/>
        <bgColor indexed="64"/>
      </patternFill>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FABF8F"/>
        <bgColor rgb="FF000000"/>
      </patternFill>
    </fill>
    <fill>
      <patternFill patternType="solid">
        <fgColor theme="9" tint="0.39997558519241921"/>
        <bgColor indexed="64"/>
      </patternFill>
    </fill>
    <fill>
      <patternFill patternType="solid">
        <fgColor rgb="FFF4B084"/>
        <bgColor rgb="FF000000"/>
      </patternFill>
    </fill>
    <fill>
      <patternFill patternType="solid">
        <fgColor indexed="43"/>
        <bgColor indexed="64"/>
      </patternFill>
    </fill>
  </fills>
  <borders count="11">
    <border>
      <left/>
      <right/>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5">
    <xf numFmtId="0" fontId="0" fillId="0" borderId="0"/>
    <xf numFmtId="9" fontId="7" fillId="0" borderId="0" applyFont="0" applyFill="0" applyBorder="0" applyAlignment="0" applyProtection="0"/>
    <xf numFmtId="0" fontId="6" fillId="0" borderId="0"/>
    <xf numFmtId="0" fontId="6" fillId="0" borderId="0"/>
    <xf numFmtId="0" fontId="7" fillId="0" borderId="0"/>
    <xf numFmtId="43" fontId="7" fillId="0" borderId="0" applyFont="0" applyFill="0" applyBorder="0" applyAlignment="0" applyProtection="0"/>
    <xf numFmtId="44" fontId="6" fillId="0" borderId="0" applyFont="0" applyFill="0" applyBorder="0" applyAlignment="0" applyProtection="0"/>
    <xf numFmtId="0" fontId="6" fillId="0" borderId="0"/>
    <xf numFmtId="0" fontId="18" fillId="0" borderId="0"/>
    <xf numFmtId="164"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0" fontId="6" fillId="0" borderId="0"/>
    <xf numFmtId="9" fontId="7" fillId="0" borderId="0" applyFont="0" applyFill="0" applyBorder="0" applyAlignment="0" applyProtection="0"/>
  </cellStyleXfs>
  <cellXfs count="188">
    <xf numFmtId="0" fontId="0" fillId="0" borderId="0" xfId="0"/>
    <xf numFmtId="0" fontId="0" fillId="0" borderId="0" xfId="0" applyAlignment="1">
      <alignment wrapText="1"/>
    </xf>
    <xf numFmtId="9" fontId="0" fillId="0" borderId="0" xfId="1" applyFont="1"/>
    <xf numFmtId="0" fontId="8" fillId="0" borderId="0" xfId="0" applyFont="1" applyAlignment="1">
      <alignment horizontal="center" wrapText="1"/>
    </xf>
    <xf numFmtId="0" fontId="8" fillId="0" borderId="0" xfId="0" applyFont="1"/>
    <xf numFmtId="0" fontId="10" fillId="0" borderId="1" xfId="0" applyFont="1" applyBorder="1"/>
    <xf numFmtId="9" fontId="10" fillId="0" borderId="1" xfId="1" applyFont="1" applyBorder="1"/>
    <xf numFmtId="9" fontId="8" fillId="0" borderId="0" xfId="1" applyFont="1"/>
    <xf numFmtId="165" fontId="8" fillId="0" borderId="0" xfId="0" applyNumberFormat="1" applyFont="1"/>
    <xf numFmtId="9" fontId="8" fillId="0" borderId="0" xfId="0" applyNumberFormat="1" applyFont="1"/>
    <xf numFmtId="0" fontId="10" fillId="0" borderId="1" xfId="0" applyFont="1" applyBorder="1" applyAlignment="1">
      <alignment horizontal="center"/>
    </xf>
    <xf numFmtId="0" fontId="12" fillId="0" borderId="0" xfId="0" applyFont="1"/>
    <xf numFmtId="0" fontId="9" fillId="0" borderId="0" xfId="0" applyFont="1"/>
    <xf numFmtId="9" fontId="7" fillId="0" borderId="0" xfId="1"/>
    <xf numFmtId="0" fontId="13" fillId="2" borderId="0" xfId="0" applyFont="1" applyFill="1" applyAlignment="1">
      <alignment horizontal="center"/>
    </xf>
    <xf numFmtId="0" fontId="12" fillId="0" borderId="0" xfId="0" applyFont="1" applyAlignment="1">
      <alignment horizontal="center"/>
    </xf>
    <xf numFmtId="0" fontId="13" fillId="0" borderId="0" xfId="0" applyFont="1" applyAlignment="1">
      <alignment horizontal="center"/>
    </xf>
    <xf numFmtId="0" fontId="12" fillId="0" borderId="0" xfId="0" applyFont="1" applyAlignment="1">
      <alignment wrapText="1"/>
    </xf>
    <xf numFmtId="0" fontId="11" fillId="0" borderId="0" xfId="0" applyFont="1" applyAlignment="1">
      <alignment horizontal="center"/>
    </xf>
    <xf numFmtId="0" fontId="10" fillId="0" borderId="2" xfId="0" applyFont="1" applyBorder="1"/>
    <xf numFmtId="166" fontId="8" fillId="0" borderId="0" xfId="1" applyNumberFormat="1" applyFont="1"/>
    <xf numFmtId="0" fontId="7" fillId="0" borderId="0" xfId="0" applyFont="1"/>
    <xf numFmtId="166" fontId="0" fillId="0" borderId="0" xfId="0" applyNumberFormat="1"/>
    <xf numFmtId="166" fontId="0" fillId="0" borderId="0" xfId="1" applyNumberFormat="1" applyFont="1"/>
    <xf numFmtId="166" fontId="7" fillId="0" borderId="0" xfId="0" applyNumberFormat="1" applyFont="1"/>
    <xf numFmtId="0" fontId="6" fillId="0" borderId="0" xfId="2"/>
    <xf numFmtId="0" fontId="17" fillId="0" borderId="0" xfId="2" applyFont="1"/>
    <xf numFmtId="0" fontId="6" fillId="3" borderId="0" xfId="2" applyFill="1"/>
    <xf numFmtId="0" fontId="17" fillId="0" borderId="3" xfId="2" applyFont="1" applyBorder="1"/>
    <xf numFmtId="0" fontId="6" fillId="0" borderId="4" xfId="2" applyBorder="1"/>
    <xf numFmtId="0" fontId="6" fillId="0" borderId="5" xfId="2" applyBorder="1"/>
    <xf numFmtId="0" fontId="17" fillId="0" borderId="6" xfId="2" applyFont="1" applyBorder="1"/>
    <xf numFmtId="0" fontId="6" fillId="0" borderId="7" xfId="2" applyBorder="1"/>
    <xf numFmtId="0" fontId="17" fillId="0" borderId="8" xfId="2" applyFont="1" applyBorder="1"/>
    <xf numFmtId="0" fontId="6" fillId="0" borderId="9" xfId="2" applyBorder="1"/>
    <xf numFmtId="0" fontId="6" fillId="0" borderId="10" xfId="2" applyBorder="1"/>
    <xf numFmtId="0" fontId="6" fillId="0" borderId="3" xfId="2" applyBorder="1"/>
    <xf numFmtId="0" fontId="6" fillId="0" borderId="6" xfId="2" applyBorder="1"/>
    <xf numFmtId="0" fontId="6" fillId="0" borderId="8" xfId="2" applyBorder="1"/>
    <xf numFmtId="0" fontId="6" fillId="0" borderId="3" xfId="3" applyBorder="1" applyAlignment="1">
      <alignment horizontal="right"/>
    </xf>
    <xf numFmtId="0" fontId="6" fillId="5" borderId="4" xfId="3" applyFill="1" applyBorder="1"/>
    <xf numFmtId="0" fontId="6" fillId="0" borderId="4" xfId="3" applyBorder="1"/>
    <xf numFmtId="0" fontId="6" fillId="0" borderId="5" xfId="3" applyBorder="1"/>
    <xf numFmtId="0" fontId="6" fillId="0" borderId="0" xfId="3"/>
    <xf numFmtId="0" fontId="6" fillId="0" borderId="6" xfId="3" applyBorder="1" applyAlignment="1">
      <alignment horizontal="right"/>
    </xf>
    <xf numFmtId="0" fontId="6" fillId="0" borderId="7" xfId="3" applyBorder="1"/>
    <xf numFmtId="0" fontId="17" fillId="0" borderId="0" xfId="3" applyFont="1"/>
    <xf numFmtId="0" fontId="6" fillId="0" borderId="8" xfId="3" applyBorder="1" applyAlignment="1">
      <alignment horizontal="right"/>
    </xf>
    <xf numFmtId="0" fontId="6" fillId="0" borderId="9" xfId="3" applyBorder="1"/>
    <xf numFmtId="0" fontId="6" fillId="0" borderId="10" xfId="3" applyBorder="1"/>
    <xf numFmtId="0" fontId="6" fillId="0" borderId="3" xfId="3" applyBorder="1"/>
    <xf numFmtId="0" fontId="6" fillId="0" borderId="6" xfId="3" applyBorder="1"/>
    <xf numFmtId="0" fontId="15" fillId="0" borderId="0" xfId="3" applyFont="1"/>
    <xf numFmtId="0" fontId="15" fillId="0" borderId="7" xfId="3" applyFont="1" applyBorder="1"/>
    <xf numFmtId="0" fontId="6" fillId="0" borderId="8" xfId="3" applyBorder="1"/>
    <xf numFmtId="0" fontId="15" fillId="0" borderId="9" xfId="3" applyFont="1" applyBorder="1"/>
    <xf numFmtId="0" fontId="15" fillId="0" borderId="10" xfId="3" applyFont="1" applyBorder="1"/>
    <xf numFmtId="0" fontId="0" fillId="0" borderId="7" xfId="3" applyFont="1" applyBorder="1"/>
    <xf numFmtId="0" fontId="0" fillId="0" borderId="6" xfId="3" applyFont="1" applyBorder="1" applyAlignment="1">
      <alignment horizontal="right"/>
    </xf>
    <xf numFmtId="0" fontId="0" fillId="0" borderId="0" xfId="3" applyFont="1"/>
    <xf numFmtId="0" fontId="17" fillId="0" borderId="7" xfId="3" applyFont="1" applyBorder="1"/>
    <xf numFmtId="44" fontId="17" fillId="0" borderId="0" xfId="6" applyFont="1" applyBorder="1"/>
    <xf numFmtId="0" fontId="6" fillId="0" borderId="5" xfId="3" applyBorder="1" applyAlignment="1">
      <alignment horizontal="center"/>
    </xf>
    <xf numFmtId="0" fontId="0" fillId="0" borderId="4" xfId="3" applyFont="1" applyBorder="1"/>
    <xf numFmtId="0" fontId="0" fillId="0" borderId="5" xfId="3" applyFont="1" applyBorder="1"/>
    <xf numFmtId="2" fontId="6" fillId="0" borderId="0" xfId="3" applyNumberFormat="1"/>
    <xf numFmtId="44" fontId="6" fillId="0" borderId="7" xfId="3" applyNumberFormat="1" applyBorder="1"/>
    <xf numFmtId="44" fontId="6" fillId="0" borderId="7" xfId="6" applyBorder="1"/>
    <xf numFmtId="2" fontId="6" fillId="0" borderId="9" xfId="3" applyNumberFormat="1" applyBorder="1"/>
    <xf numFmtId="44" fontId="6" fillId="0" borderId="10" xfId="6" applyBorder="1"/>
    <xf numFmtId="2" fontId="0" fillId="0" borderId="0" xfId="3" applyNumberFormat="1" applyFont="1"/>
    <xf numFmtId="44" fontId="0" fillId="0" borderId="0" xfId="6" applyFont="1" applyBorder="1"/>
    <xf numFmtId="0" fontId="16" fillId="0" borderId="0" xfId="2" applyFont="1" applyAlignment="1">
      <alignment wrapText="1"/>
    </xf>
    <xf numFmtId="6" fontId="17" fillId="0" borderId="0" xfId="2" applyNumberFormat="1" applyFont="1"/>
    <xf numFmtId="44" fontId="17" fillId="0" borderId="0" xfId="6" applyFont="1"/>
    <xf numFmtId="0" fontId="16" fillId="0" borderId="0" xfId="7" applyFont="1" applyAlignment="1">
      <alignment horizontal="center"/>
    </xf>
    <xf numFmtId="0" fontId="18" fillId="0" borderId="0" xfId="8"/>
    <xf numFmtId="0" fontId="16" fillId="0" borderId="0" xfId="8" applyFont="1" applyAlignment="1">
      <alignment horizontal="center" wrapText="1"/>
    </xf>
    <xf numFmtId="167" fontId="18" fillId="3" borderId="0" xfId="8" applyNumberFormat="1" applyFill="1"/>
    <xf numFmtId="0" fontId="19" fillId="0" borderId="0" xfId="8" applyFont="1"/>
    <xf numFmtId="167" fontId="19" fillId="0" borderId="0" xfId="8" applyNumberFormat="1" applyFont="1"/>
    <xf numFmtId="167" fontId="18" fillId="0" borderId="0" xfId="8" applyNumberFormat="1"/>
    <xf numFmtId="168" fontId="18" fillId="0" borderId="0" xfId="9" applyNumberFormat="1" applyFont="1"/>
    <xf numFmtId="169" fontId="18" fillId="3" borderId="0" xfId="8" applyNumberFormat="1" applyFill="1"/>
    <xf numFmtId="0" fontId="20" fillId="0" borderId="0" xfId="8" applyFont="1" applyAlignment="1">
      <alignment horizontal="right"/>
    </xf>
    <xf numFmtId="0" fontId="6" fillId="0" borderId="0" xfId="10"/>
    <xf numFmtId="0" fontId="16" fillId="0" borderId="0" xfId="10" applyFont="1"/>
    <xf numFmtId="170" fontId="0" fillId="3" borderId="0" xfId="11" applyNumberFormat="1" applyFont="1" applyFill="1" applyBorder="1"/>
    <xf numFmtId="0" fontId="17" fillId="0" borderId="0" xfId="10" applyFont="1"/>
    <xf numFmtId="0" fontId="16" fillId="0" borderId="0" xfId="10" applyFont="1" applyAlignment="1">
      <alignment horizontal="center"/>
    </xf>
    <xf numFmtId="2" fontId="6" fillId="0" borderId="0" xfId="10" applyNumberFormat="1"/>
    <xf numFmtId="0" fontId="6" fillId="0" borderId="0" xfId="10" applyAlignment="1">
      <alignment horizontal="center"/>
    </xf>
    <xf numFmtId="171" fontId="17" fillId="0" borderId="0" xfId="12" applyNumberFormat="1" applyFont="1"/>
    <xf numFmtId="1" fontId="17" fillId="0" borderId="0" xfId="10" applyNumberFormat="1" applyFont="1"/>
    <xf numFmtId="0" fontId="6" fillId="3" borderId="0" xfId="10" applyFill="1"/>
    <xf numFmtId="172" fontId="6" fillId="0" borderId="0" xfId="10" applyNumberFormat="1"/>
    <xf numFmtId="1" fontId="6" fillId="0" borderId="0" xfId="10" applyNumberFormat="1"/>
    <xf numFmtId="0" fontId="7" fillId="0" borderId="0" xfId="4"/>
    <xf numFmtId="0" fontId="8" fillId="0" borderId="0" xfId="4" applyFont="1"/>
    <xf numFmtId="0" fontId="8" fillId="0" borderId="0" xfId="4" applyFont="1" applyAlignment="1">
      <alignment horizontal="center" wrapText="1"/>
    </xf>
    <xf numFmtId="0" fontId="8" fillId="0" borderId="0" xfId="4" applyFont="1" applyAlignment="1">
      <alignment horizontal="center"/>
    </xf>
    <xf numFmtId="0" fontId="21" fillId="0" borderId="0" xfId="4" applyFont="1"/>
    <xf numFmtId="0" fontId="7" fillId="0" borderId="0" xfId="4" applyAlignment="1">
      <alignment horizontal="right"/>
    </xf>
    <xf numFmtId="168" fontId="7" fillId="3" borderId="0" xfId="9" applyNumberFormat="1" applyFont="1" applyFill="1"/>
    <xf numFmtId="2" fontId="7" fillId="0" borderId="0" xfId="4" applyNumberFormat="1"/>
    <xf numFmtId="10" fontId="0" fillId="4" borderId="0" xfId="14" applyNumberFormat="1" applyFont="1" applyFill="1"/>
    <xf numFmtId="0" fontId="7" fillId="6" borderId="0" xfId="2" applyFont="1" applyFill="1" applyAlignment="1" applyProtection="1">
      <alignment horizontal="left"/>
      <protection locked="0"/>
    </xf>
    <xf numFmtId="0" fontId="22" fillId="0" borderId="0" xfId="3" applyFont="1"/>
    <xf numFmtId="0" fontId="6" fillId="7" borderId="0" xfId="13" applyFill="1" applyAlignment="1" applyProtection="1">
      <alignment horizontal="left"/>
      <protection locked="0"/>
    </xf>
    <xf numFmtId="0" fontId="18" fillId="8" borderId="0" xfId="8" applyFill="1" applyProtection="1">
      <protection locked="0"/>
    </xf>
    <xf numFmtId="0" fontId="18" fillId="8" borderId="7" xfId="8" applyFill="1" applyBorder="1" applyProtection="1">
      <protection locked="0"/>
    </xf>
    <xf numFmtId="0" fontId="18" fillId="8" borderId="10" xfId="8" applyFill="1" applyBorder="1" applyProtection="1">
      <protection locked="0"/>
    </xf>
    <xf numFmtId="0" fontId="7" fillId="0" borderId="0" xfId="4" quotePrefix="1" applyAlignment="1">
      <alignment horizontal="right"/>
    </xf>
    <xf numFmtId="2" fontId="10" fillId="0" borderId="0" xfId="4" applyNumberFormat="1" applyFont="1"/>
    <xf numFmtId="165" fontId="10" fillId="0" borderId="0" xfId="4" applyNumberFormat="1" applyFont="1"/>
    <xf numFmtId="0" fontId="8" fillId="0" borderId="0" xfId="4" applyFont="1" applyAlignment="1">
      <alignment textRotation="90" wrapText="1"/>
    </xf>
    <xf numFmtId="165" fontId="27" fillId="0" borderId="0" xfId="4" applyNumberFormat="1" applyFont="1"/>
    <xf numFmtId="170" fontId="7" fillId="0" borderId="0" xfId="4" applyNumberFormat="1"/>
    <xf numFmtId="0" fontId="7" fillId="0" borderId="6" xfId="3" applyFont="1" applyBorder="1" applyAlignment="1">
      <alignment horizontal="right"/>
    </xf>
    <xf numFmtId="44" fontId="5" fillId="0" borderId="9" xfId="3" applyNumberFormat="1" applyFont="1" applyBorder="1"/>
    <xf numFmtId="0" fontId="7" fillId="0" borderId="8" xfId="3" applyFont="1" applyBorder="1" applyAlignment="1">
      <alignment horizontal="right"/>
    </xf>
    <xf numFmtId="0" fontId="18" fillId="0" borderId="0" xfId="8" applyAlignment="1">
      <alignment horizontal="right"/>
    </xf>
    <xf numFmtId="0" fontId="0" fillId="0" borderId="0" xfId="0" applyProtection="1">
      <protection locked="0"/>
    </xf>
    <xf numFmtId="0" fontId="3" fillId="0" borderId="0" xfId="2" applyFont="1" applyProtection="1">
      <protection locked="0"/>
    </xf>
    <xf numFmtId="0" fontId="6" fillId="0" borderId="0" xfId="2" applyProtection="1">
      <protection locked="0"/>
    </xf>
    <xf numFmtId="0" fontId="6" fillId="0" borderId="0" xfId="2" applyProtection="1"/>
    <xf numFmtId="0" fontId="16" fillId="0" borderId="0" xfId="2" applyFont="1" applyProtection="1"/>
    <xf numFmtId="0" fontId="8" fillId="0" borderId="4" xfId="2" applyFont="1" applyBorder="1" applyProtection="1"/>
    <xf numFmtId="0" fontId="6" fillId="0" borderId="4" xfId="2" applyBorder="1" applyProtection="1"/>
    <xf numFmtId="0" fontId="6" fillId="7" borderId="0" xfId="2" applyFill="1" applyProtection="1"/>
    <xf numFmtId="0" fontId="0" fillId="0" borderId="0" xfId="0" applyProtection="1"/>
    <xf numFmtId="0" fontId="6" fillId="0" borderId="0" xfId="2" applyAlignment="1" applyProtection="1">
      <alignment horizontal="right"/>
    </xf>
    <xf numFmtId="0" fontId="4" fillId="0" borderId="0" xfId="2" applyFont="1" applyProtection="1"/>
    <xf numFmtId="164" fontId="0" fillId="0" borderId="0" xfId="9" applyFont="1" applyProtection="1"/>
    <xf numFmtId="0" fontId="6" fillId="0" borderId="0" xfId="2" applyAlignment="1" applyProtection="1">
      <alignment horizontal="left"/>
    </xf>
    <xf numFmtId="0" fontId="4" fillId="0" borderId="0" xfId="2" applyFont="1" applyAlignment="1" applyProtection="1">
      <alignment horizontal="right"/>
    </xf>
    <xf numFmtId="0" fontId="6" fillId="0" borderId="0" xfId="7" applyAlignment="1" applyProtection="1">
      <alignment horizontal="center"/>
    </xf>
    <xf numFmtId="0" fontId="8" fillId="0" borderId="0" xfId="2" applyFont="1" applyProtection="1"/>
    <xf numFmtId="0" fontId="6" fillId="0" borderId="0" xfId="13" applyAlignment="1" applyProtection="1">
      <alignment horizontal="right"/>
    </xf>
    <xf numFmtId="0" fontId="6" fillId="0" borderId="0" xfId="13" applyAlignment="1" applyProtection="1">
      <alignment horizontal="center"/>
    </xf>
    <xf numFmtId="0" fontId="6" fillId="0" borderId="0" xfId="10" applyProtection="1"/>
    <xf numFmtId="0" fontId="6" fillId="0" borderId="0" xfId="10" applyAlignment="1" applyProtection="1">
      <alignment horizontal="center"/>
    </xf>
    <xf numFmtId="0" fontId="6" fillId="0" borderId="0" xfId="10" applyAlignment="1" applyProtection="1">
      <alignment horizontal="right"/>
    </xf>
    <xf numFmtId="0" fontId="5" fillId="7" borderId="0" xfId="2" applyFont="1" applyFill="1" applyProtection="1"/>
    <xf numFmtId="0" fontId="8" fillId="0" borderId="3" xfId="0" applyFont="1" applyBorder="1" applyProtection="1"/>
    <xf numFmtId="0" fontId="23" fillId="0" borderId="4" xfId="8" applyFont="1" applyBorder="1" applyAlignment="1" applyProtection="1">
      <alignment horizontal="center" wrapText="1"/>
    </xf>
    <xf numFmtId="0" fontId="23" fillId="0" borderId="5" xfId="8" applyFont="1" applyBorder="1" applyAlignment="1" applyProtection="1">
      <alignment horizontal="center" wrapText="1"/>
    </xf>
    <xf numFmtId="0" fontId="7" fillId="0" borderId="0" xfId="2" applyFont="1" applyProtection="1"/>
    <xf numFmtId="0" fontId="25" fillId="0" borderId="6" xfId="0" applyFont="1" applyBorder="1" applyAlignment="1" applyProtection="1">
      <alignment horizontal="right"/>
    </xf>
    <xf numFmtId="0" fontId="18" fillId="0" borderId="0" xfId="8" applyProtection="1"/>
    <xf numFmtId="0" fontId="18" fillId="0" borderId="7" xfId="8" applyBorder="1" applyProtection="1"/>
    <xf numFmtId="0" fontId="25" fillId="0" borderId="8" xfId="0" applyFont="1" applyBorder="1" applyAlignment="1" applyProtection="1">
      <alignment horizontal="right"/>
    </xf>
    <xf numFmtId="0" fontId="18" fillId="0" borderId="9" xfId="8" applyBorder="1" applyProtection="1"/>
    <xf numFmtId="0" fontId="8" fillId="0" borderId="0" xfId="2" applyFont="1" applyAlignment="1" applyProtection="1">
      <alignment horizontal="center"/>
    </xf>
    <xf numFmtId="0" fontId="6" fillId="4" borderId="0" xfId="2" applyFill="1" applyProtection="1">
      <protection locked="0"/>
    </xf>
    <xf numFmtId="0" fontId="6" fillId="7" borderId="0" xfId="2" applyFill="1" applyProtection="1">
      <protection locked="0"/>
    </xf>
    <xf numFmtId="164" fontId="0" fillId="7" borderId="0" xfId="9" applyFont="1" applyFill="1" applyProtection="1">
      <protection locked="0"/>
    </xf>
    <xf numFmtId="0" fontId="6" fillId="0" borderId="0" xfId="10" applyAlignment="1">
      <alignment horizontal="center"/>
    </xf>
    <xf numFmtId="0" fontId="2" fillId="0" borderId="0" xfId="2" applyFont="1"/>
    <xf numFmtId="0" fontId="2" fillId="0" borderId="0" xfId="2" applyFont="1" applyAlignment="1">
      <alignment horizontal="right"/>
    </xf>
    <xf numFmtId="0" fontId="6" fillId="4" borderId="0" xfId="2" applyFill="1"/>
    <xf numFmtId="0" fontId="6" fillId="0" borderId="4" xfId="3" applyBorder="1" applyAlignment="1">
      <alignment horizontal="center"/>
    </xf>
    <xf numFmtId="0" fontId="6" fillId="0" borderId="5" xfId="3" applyBorder="1" applyAlignment="1">
      <alignment horizontal="center"/>
    </xf>
    <xf numFmtId="0" fontId="6" fillId="0" borderId="0" xfId="10" applyAlignment="1">
      <alignment horizontal="center"/>
    </xf>
    <xf numFmtId="0" fontId="8" fillId="9" borderId="0" xfId="4" applyFont="1" applyFill="1" applyAlignment="1">
      <alignment horizontal="center"/>
    </xf>
    <xf numFmtId="0" fontId="8" fillId="2" borderId="0" xfId="0" applyFont="1" applyFill="1" applyAlignment="1">
      <alignment horizontal="center" wrapText="1"/>
    </xf>
    <xf numFmtId="0" fontId="9" fillId="2" borderId="0" xfId="0" applyFont="1" applyFill="1" applyAlignment="1">
      <alignment horizontal="center" wrapText="1"/>
    </xf>
    <xf numFmtId="0" fontId="1" fillId="0" borderId="0" xfId="2" applyFont="1"/>
    <xf numFmtId="6" fontId="6" fillId="0" borderId="0" xfId="2" applyNumberFormat="1"/>
    <xf numFmtId="0" fontId="1" fillId="0" borderId="0" xfId="2" applyFont="1" applyAlignment="1">
      <alignment horizontal="right"/>
    </xf>
    <xf numFmtId="6" fontId="6" fillId="0" borderId="0" xfId="2" applyNumberFormat="1" applyFill="1"/>
    <xf numFmtId="0" fontId="6" fillId="0" borderId="0" xfId="2" applyAlignment="1">
      <alignment wrapText="1"/>
    </xf>
    <xf numFmtId="0" fontId="6" fillId="0" borderId="7" xfId="2" applyBorder="1" applyAlignment="1">
      <alignment wrapText="1"/>
    </xf>
    <xf numFmtId="167" fontId="18" fillId="4" borderId="0" xfId="8" applyNumberFormat="1" applyFill="1"/>
    <xf numFmtId="0" fontId="6" fillId="0" borderId="3" xfId="10" applyBorder="1"/>
    <xf numFmtId="0" fontId="6" fillId="0" borderId="4" xfId="10" applyBorder="1"/>
    <xf numFmtId="0" fontId="6" fillId="0" borderId="5" xfId="10" applyBorder="1"/>
    <xf numFmtId="0" fontId="6" fillId="0" borderId="6" xfId="10" applyBorder="1"/>
    <xf numFmtId="0" fontId="6" fillId="0" borderId="0" xfId="10" applyBorder="1"/>
    <xf numFmtId="0" fontId="6" fillId="0" borderId="7" xfId="10" applyBorder="1"/>
    <xf numFmtId="0" fontId="6" fillId="0" borderId="8" xfId="10" applyBorder="1"/>
    <xf numFmtId="0" fontId="6" fillId="0" borderId="9" xfId="10" applyBorder="1"/>
    <xf numFmtId="0" fontId="6" fillId="0" borderId="10" xfId="10" applyBorder="1"/>
    <xf numFmtId="0" fontId="1" fillId="0" borderId="0" xfId="10" applyFont="1" applyBorder="1"/>
    <xf numFmtId="0" fontId="1" fillId="0" borderId="7" xfId="10" applyFont="1" applyBorder="1"/>
    <xf numFmtId="0" fontId="1" fillId="0" borderId="9" xfId="10" applyFont="1" applyBorder="1"/>
    <xf numFmtId="0" fontId="1" fillId="0" borderId="0" xfId="10" applyFont="1"/>
    <xf numFmtId="1" fontId="6" fillId="4" borderId="0" xfId="10" applyNumberFormat="1" applyFill="1"/>
  </cellXfs>
  <cellStyles count="15">
    <cellStyle name="Comma 2" xfId="9"/>
    <cellStyle name="Comma 3" xfId="5"/>
    <cellStyle name="Comma 6" xfId="11"/>
    <cellStyle name="Currency 2" xfId="6"/>
    <cellStyle name="Currency 8" xfId="12"/>
    <cellStyle name="Normal" xfId="0" builtinId="0"/>
    <cellStyle name="Normal 2" xfId="2"/>
    <cellStyle name="Normal 2 2" xfId="8"/>
    <cellStyle name="Normal 3" xfId="4"/>
    <cellStyle name="Normal 3 2" xfId="13"/>
    <cellStyle name="Normal 4" xfId="7"/>
    <cellStyle name="Normal 6" xfId="3"/>
    <cellStyle name="Normal 8" xfId="10"/>
    <cellStyle name="Percent" xfId="1" builtinId="5"/>
    <cellStyle name="Percent 2" xfId="1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664216471973906"/>
          <c:y val="4.3397059983358556E-2"/>
          <c:w val="0.71323535744267319"/>
          <c:h val="0.74434268974525086"/>
        </c:manualLayout>
      </c:layout>
      <c:scatterChart>
        <c:scatterStyle val="lineMarker"/>
        <c:varyColors val="0"/>
        <c:ser>
          <c:idx val="0"/>
          <c:order val="0"/>
          <c:tx>
            <c:strRef>
              <c:f>PA!$D$5</c:f>
              <c:strCache>
                <c:ptCount val="1"/>
                <c:pt idx="0">
                  <c:v>Default</c:v>
                </c:pt>
              </c:strCache>
            </c:strRef>
          </c:tx>
          <c:spPr>
            <a:ln w="28575">
              <a:noFill/>
            </a:ln>
          </c:spPr>
          <c:marker>
            <c:symbol val="x"/>
            <c:size val="7"/>
            <c:spPr>
              <a:ln>
                <a:solidFill>
                  <a:srgbClr val="FF0000"/>
                </a:solidFill>
              </a:ln>
            </c:spPr>
          </c:marker>
          <c:xVal>
            <c:numRef>
              <c:f>PA!$B$5:$B$14</c:f>
              <c:numCache>
                <c:formatCode>_("$"* #,##0_);_("$"* \(#,##0\);_("$"* "-"??_);_(@_)</c:formatCode>
                <c:ptCount val="10"/>
                <c:pt idx="0">
                  <c:v>23700</c:v>
                </c:pt>
                <c:pt idx="1">
                  <c:v>20900</c:v>
                </c:pt>
                <c:pt idx="2">
                  <c:v>14500</c:v>
                </c:pt>
                <c:pt idx="3">
                  <c:v>20800</c:v>
                </c:pt>
                <c:pt idx="4">
                  <c:v>24100</c:v>
                </c:pt>
                <c:pt idx="5">
                  <c:v>19400</c:v>
                </c:pt>
                <c:pt idx="6">
                  <c:v>12300</c:v>
                </c:pt>
                <c:pt idx="7">
                  <c:v>20700</c:v>
                </c:pt>
                <c:pt idx="8">
                  <c:v>19800</c:v>
                </c:pt>
                <c:pt idx="9">
                  <c:v>19100</c:v>
                </c:pt>
              </c:numCache>
            </c:numRef>
          </c:xVal>
          <c:yVal>
            <c:numRef>
              <c:f>PA!$C$5:$C$14</c:f>
              <c:numCache>
                <c:formatCode>0</c:formatCode>
                <c:ptCount val="10"/>
                <c:pt idx="0">
                  <c:v>480</c:v>
                </c:pt>
                <c:pt idx="1">
                  <c:v>470</c:v>
                </c:pt>
                <c:pt idx="2">
                  <c:v>760</c:v>
                </c:pt>
                <c:pt idx="3">
                  <c:v>680</c:v>
                </c:pt>
                <c:pt idx="4">
                  <c:v>630</c:v>
                </c:pt>
                <c:pt idx="5">
                  <c:v>750</c:v>
                </c:pt>
                <c:pt idx="6">
                  <c:v>590</c:v>
                </c:pt>
                <c:pt idx="7">
                  <c:v>620</c:v>
                </c:pt>
                <c:pt idx="8">
                  <c:v>530</c:v>
                </c:pt>
                <c:pt idx="9">
                  <c:v>720</c:v>
                </c:pt>
              </c:numCache>
            </c:numRef>
          </c:yVal>
          <c:smooth val="0"/>
          <c:extLst>
            <c:ext xmlns:c16="http://schemas.microsoft.com/office/drawing/2014/chart" uri="{C3380CC4-5D6E-409C-BE32-E72D297353CC}">
              <c16:uniqueId val="{00000000-837B-4EFF-9489-393B2402523E}"/>
            </c:ext>
          </c:extLst>
        </c:ser>
        <c:ser>
          <c:idx val="1"/>
          <c:order val="1"/>
          <c:tx>
            <c:strRef>
              <c:f>PA!$D$17</c:f>
              <c:strCache>
                <c:ptCount val="1"/>
                <c:pt idx="0">
                  <c:v>No default</c:v>
                </c:pt>
              </c:strCache>
            </c:strRef>
          </c:tx>
          <c:spPr>
            <a:ln w="28575">
              <a:noFill/>
            </a:ln>
          </c:spPr>
          <c:marker>
            <c:symbol val="plus"/>
            <c:size val="7"/>
            <c:spPr>
              <a:ln>
                <a:solidFill>
                  <a:srgbClr val="0070C0"/>
                </a:solidFill>
              </a:ln>
            </c:spPr>
          </c:marker>
          <c:xVal>
            <c:numRef>
              <c:f>PA!$B$17:$B$26</c:f>
              <c:numCache>
                <c:formatCode>_("$"* #,##0_);_("$"* \(#,##0\);_("$"* "-"??_);_(@_)</c:formatCode>
                <c:ptCount val="10"/>
                <c:pt idx="0">
                  <c:v>19300</c:v>
                </c:pt>
                <c:pt idx="1">
                  <c:v>15100</c:v>
                </c:pt>
                <c:pt idx="2">
                  <c:v>15500</c:v>
                </c:pt>
                <c:pt idx="3">
                  <c:v>16200</c:v>
                </c:pt>
                <c:pt idx="4">
                  <c:v>13400</c:v>
                </c:pt>
                <c:pt idx="5">
                  <c:v>12500</c:v>
                </c:pt>
                <c:pt idx="6">
                  <c:v>10600</c:v>
                </c:pt>
                <c:pt idx="7">
                  <c:v>14800</c:v>
                </c:pt>
                <c:pt idx="8">
                  <c:v>13500</c:v>
                </c:pt>
                <c:pt idx="9">
                  <c:v>10400</c:v>
                </c:pt>
              </c:numCache>
            </c:numRef>
          </c:xVal>
          <c:yVal>
            <c:numRef>
              <c:f>PA!$C$17:$C$26</c:f>
              <c:numCache>
                <c:formatCode>0</c:formatCode>
                <c:ptCount val="10"/>
                <c:pt idx="0">
                  <c:v>720</c:v>
                </c:pt>
                <c:pt idx="1">
                  <c:v>800</c:v>
                </c:pt>
                <c:pt idx="2">
                  <c:v>670</c:v>
                </c:pt>
                <c:pt idx="3">
                  <c:v>640</c:v>
                </c:pt>
                <c:pt idx="4">
                  <c:v>790</c:v>
                </c:pt>
                <c:pt idx="5">
                  <c:v>850</c:v>
                </c:pt>
                <c:pt idx="6">
                  <c:v>810</c:v>
                </c:pt>
                <c:pt idx="7">
                  <c:v>790</c:v>
                </c:pt>
                <c:pt idx="8">
                  <c:v>660</c:v>
                </c:pt>
                <c:pt idx="9">
                  <c:v>830</c:v>
                </c:pt>
              </c:numCache>
            </c:numRef>
          </c:yVal>
          <c:smooth val="0"/>
          <c:extLst>
            <c:ext xmlns:c16="http://schemas.microsoft.com/office/drawing/2014/chart" uri="{C3380CC4-5D6E-409C-BE32-E72D297353CC}">
              <c16:uniqueId val="{00000001-837B-4EFF-9489-393B2402523E}"/>
            </c:ext>
          </c:extLst>
        </c:ser>
        <c:ser>
          <c:idx val="2"/>
          <c:order val="2"/>
          <c:tx>
            <c:v>Line</c:v>
          </c:tx>
          <c:spPr>
            <a:ln w="12700">
              <a:solidFill>
                <a:srgbClr val="7030A0"/>
              </a:solidFill>
            </a:ln>
          </c:spPr>
          <c:marker>
            <c:symbol val="none"/>
          </c:marker>
          <c:xVal>
            <c:numRef>
              <c:f>PA!$M$4:$M$13</c:f>
              <c:numCache>
                <c:formatCode>General</c:formatCode>
                <c:ptCount val="10"/>
                <c:pt idx="0">
                  <c:v>0</c:v>
                </c:pt>
                <c:pt idx="1">
                  <c:v>3000</c:v>
                </c:pt>
                <c:pt idx="2">
                  <c:v>6000</c:v>
                </c:pt>
                <c:pt idx="3">
                  <c:v>9000</c:v>
                </c:pt>
                <c:pt idx="4">
                  <c:v>12000</c:v>
                </c:pt>
                <c:pt idx="5">
                  <c:v>15000</c:v>
                </c:pt>
                <c:pt idx="6">
                  <c:v>18000</c:v>
                </c:pt>
                <c:pt idx="7">
                  <c:v>21000</c:v>
                </c:pt>
                <c:pt idx="8">
                  <c:v>24000</c:v>
                </c:pt>
                <c:pt idx="9">
                  <c:v>27000</c:v>
                </c:pt>
              </c:numCache>
            </c:numRef>
          </c:xVal>
          <c:yVal>
            <c:numRef>
              <c:f>PA!$N$4:$N$13</c:f>
              <c:numCache>
                <c:formatCode>0.00</c:formatCode>
                <c:ptCount val="10"/>
                <c:pt idx="0">
                  <c:v>316.76056338048778</c:v>
                </c:pt>
                <c:pt idx="1">
                  <c:v>384.36619718270612</c:v>
                </c:pt>
                <c:pt idx="2">
                  <c:v>451.97183098492451</c:v>
                </c:pt>
                <c:pt idx="3">
                  <c:v>519.57746478714284</c:v>
                </c:pt>
                <c:pt idx="4">
                  <c:v>587.18309858936118</c:v>
                </c:pt>
                <c:pt idx="5">
                  <c:v>654.78873239157952</c:v>
                </c:pt>
                <c:pt idx="6">
                  <c:v>722.39436619379785</c:v>
                </c:pt>
                <c:pt idx="7">
                  <c:v>789.9999999960163</c:v>
                </c:pt>
                <c:pt idx="8">
                  <c:v>857.60563379823452</c:v>
                </c:pt>
                <c:pt idx="9">
                  <c:v>925.21126760045308</c:v>
                </c:pt>
              </c:numCache>
            </c:numRef>
          </c:yVal>
          <c:smooth val="0"/>
          <c:extLst>
            <c:ext xmlns:c16="http://schemas.microsoft.com/office/drawing/2014/chart" uri="{C3380CC4-5D6E-409C-BE32-E72D297353CC}">
              <c16:uniqueId val="{00000002-837B-4EFF-9489-393B2402523E}"/>
            </c:ext>
          </c:extLst>
        </c:ser>
        <c:dLbls>
          <c:showLegendKey val="0"/>
          <c:showVal val="0"/>
          <c:showCatName val="0"/>
          <c:showSerName val="0"/>
          <c:showPercent val="0"/>
          <c:showBubbleSize val="0"/>
        </c:dLbls>
        <c:axId val="240261376"/>
        <c:axId val="240267648"/>
      </c:scatterChart>
      <c:valAx>
        <c:axId val="240261376"/>
        <c:scaling>
          <c:orientation val="minMax"/>
          <c:max val="25000"/>
          <c:min val="0"/>
        </c:scaling>
        <c:delete val="0"/>
        <c:axPos val="b"/>
        <c:title>
          <c:tx>
            <c:rich>
              <a:bodyPr/>
              <a:lstStyle/>
              <a:p>
                <a:pPr>
                  <a:defRPr/>
                </a:pPr>
                <a:r>
                  <a:rPr lang="en-US"/>
                  <a:t>Loan amount</a:t>
                </a:r>
              </a:p>
            </c:rich>
          </c:tx>
          <c:layout/>
          <c:overlay val="0"/>
        </c:title>
        <c:numFmt formatCode="_(&quot;$&quot;* #,##0_);_(&quot;$&quot;* \(#,##0\);_(&quot;$&quot;* &quot;-&quot;??_);_(@_)" sourceLinked="1"/>
        <c:majorTickMark val="out"/>
        <c:minorTickMark val="none"/>
        <c:tickLblPos val="nextTo"/>
        <c:crossAx val="240267648"/>
        <c:crosses val="autoZero"/>
        <c:crossBetween val="midCat"/>
      </c:valAx>
      <c:valAx>
        <c:axId val="240267648"/>
        <c:scaling>
          <c:orientation val="minMax"/>
          <c:max val="900"/>
          <c:min val="300"/>
        </c:scaling>
        <c:delete val="0"/>
        <c:axPos val="l"/>
        <c:title>
          <c:tx>
            <c:rich>
              <a:bodyPr rot="-5400000" vert="horz"/>
              <a:lstStyle/>
              <a:p>
                <a:pPr>
                  <a:defRPr/>
                </a:pPr>
                <a:r>
                  <a:rPr lang="en-US"/>
                  <a:t>Credit score</a:t>
                </a:r>
              </a:p>
            </c:rich>
          </c:tx>
          <c:layout/>
          <c:overlay val="0"/>
        </c:title>
        <c:numFmt formatCode="0" sourceLinked="1"/>
        <c:majorTickMark val="out"/>
        <c:minorTickMark val="none"/>
        <c:tickLblPos val="nextTo"/>
        <c:crossAx val="240261376"/>
        <c:crosses val="autoZero"/>
        <c:crossBetween val="midCat"/>
      </c:valAx>
    </c:plotArea>
    <c:legend>
      <c:legendPos val="r"/>
      <c:legendEntry>
        <c:idx val="2"/>
        <c:delete val="1"/>
      </c:legendEntry>
      <c:layout>
        <c:manualLayout>
          <c:xMode val="edge"/>
          <c:yMode val="edge"/>
          <c:x val="0.23458808927953778"/>
          <c:y val="3.7451371530600228E-2"/>
          <c:w val="0.24894755927610304"/>
          <c:h val="0.14572521371622937"/>
        </c:manualLayout>
      </c:layout>
      <c:overlay val="0"/>
      <c:spPr>
        <a:solidFill>
          <a:schemeClr val="lt1"/>
        </a:solidFill>
        <a:ln w="25400" cap="flat" cmpd="sng" algn="ctr">
          <a:noFill/>
          <a:prstDash val="solid"/>
        </a:ln>
        <a:effectLst/>
      </c:spPr>
    </c:legend>
    <c:plotVisOnly val="1"/>
    <c:dispBlanksAs val="gap"/>
    <c:showDLblsOverMax val="0"/>
  </c:chart>
  <c:spPr>
    <a:ln>
      <a:noFill/>
    </a:ln>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8325282718048"/>
          <c:y val="0.10581364113999006"/>
          <c:w val="0.84352551122610997"/>
          <c:h val="0.6270437993480891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MMs!$D$5:$D$25</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MMs!$E$5:$E$25</c:f>
              <c:numCache>
                <c:formatCode>0.0%</c:formatCode>
                <c:ptCount val="21"/>
                <c:pt idx="0">
                  <c:v>6.9596874242813575E-5</c:v>
                </c:pt>
                <c:pt idx="1">
                  <c:v>6.2637186818532227E-4</c:v>
                </c:pt>
                <c:pt idx="2">
                  <c:v>2.81867340683395E-3</c:v>
                </c:pt>
                <c:pt idx="3">
                  <c:v>8.4560202205018493E-3</c:v>
                </c:pt>
                <c:pt idx="4">
                  <c:v>1.9026045496129164E-2</c:v>
                </c:pt>
                <c:pt idx="5">
                  <c:v>3.4246881893032488E-2</c:v>
                </c:pt>
                <c:pt idx="6">
                  <c:v>5.1370322839548732E-2</c:v>
                </c:pt>
                <c:pt idx="7">
                  <c:v>6.6047557936562667E-2</c:v>
                </c:pt>
                <c:pt idx="8">
                  <c:v>7.4303502678632991E-2</c:v>
                </c:pt>
                <c:pt idx="9">
                  <c:v>7.4303502678632991E-2</c:v>
                </c:pt>
                <c:pt idx="10">
                  <c:v>6.6873152410769687E-2</c:v>
                </c:pt>
                <c:pt idx="11">
                  <c:v>6.0185837169692724E-2</c:v>
                </c:pt>
                <c:pt idx="12">
                  <c:v>5.4167253452723454E-2</c:v>
                </c:pt>
                <c:pt idx="13">
                  <c:v>4.8750528107451112E-2</c:v>
                </c:pt>
                <c:pt idx="14">
                  <c:v>4.3875475296705997E-2</c:v>
                </c:pt>
                <c:pt idx="15">
                  <c:v>3.94879277670354E-2</c:v>
                </c:pt>
                <c:pt idx="16">
                  <c:v>3.5539134990331858E-2</c:v>
                </c:pt>
                <c:pt idx="17">
                  <c:v>3.1985221491298677E-2</c:v>
                </c:pt>
                <c:pt idx="18">
                  <c:v>2.878669934216881E-2</c:v>
                </c:pt>
                <c:pt idx="19">
                  <c:v>2.5908029407951928E-2</c:v>
                </c:pt>
                <c:pt idx="20">
                  <c:v>2.3317226467156737E-2</c:v>
                </c:pt>
              </c:numCache>
            </c:numRef>
          </c:val>
          <c:extLst>
            <c:ext xmlns:c16="http://schemas.microsoft.com/office/drawing/2014/chart" uri="{C3380CC4-5D6E-409C-BE32-E72D297353CC}">
              <c16:uniqueId val="{00000000-5339-497F-9D80-41D48718FDDA}"/>
            </c:ext>
          </c:extLst>
        </c:ser>
        <c:dLbls>
          <c:showLegendKey val="0"/>
          <c:showVal val="0"/>
          <c:showCatName val="0"/>
          <c:showSerName val="0"/>
          <c:showPercent val="0"/>
          <c:showBubbleSize val="0"/>
        </c:dLbls>
        <c:gapWidth val="0"/>
        <c:axId val="110983040"/>
        <c:axId val="110985600"/>
      </c:barChart>
      <c:catAx>
        <c:axId val="110983040"/>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US"/>
                  <a:t>Number in system</a:t>
                </a:r>
              </a:p>
            </c:rich>
          </c:tx>
          <c:layout>
            <c:manualLayout>
              <c:xMode val="edge"/>
              <c:yMode val="edge"/>
              <c:x val="0.46135671427211905"/>
              <c:y val="0.850428068475326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10985600"/>
        <c:crosses val="autoZero"/>
        <c:auto val="1"/>
        <c:lblAlgn val="ctr"/>
        <c:lblOffset val="100"/>
        <c:tickLblSkip val="1"/>
        <c:tickMarkSkip val="1"/>
        <c:noMultiLvlLbl val="0"/>
      </c:catAx>
      <c:valAx>
        <c:axId val="110985600"/>
        <c:scaling>
          <c:orientation val="minMax"/>
        </c:scaling>
        <c:delete val="0"/>
        <c:axPos val="l"/>
        <c:title>
          <c:tx>
            <c:rich>
              <a:bodyPr/>
              <a:lstStyle/>
              <a:p>
                <a:pPr>
                  <a:defRPr sz="825" b="1" i="0" u="none" strike="noStrike" baseline="0">
                    <a:solidFill>
                      <a:srgbClr val="000000"/>
                    </a:solidFill>
                    <a:latin typeface="Arial"/>
                    <a:ea typeface="Arial"/>
                    <a:cs typeface="Arial"/>
                  </a:defRPr>
                </a:pPr>
                <a:r>
                  <a:rPr lang="en-US"/>
                  <a:t>Probability</a:t>
                </a:r>
              </a:p>
            </c:rich>
          </c:tx>
          <c:layout>
            <c:manualLayout>
              <c:xMode val="edge"/>
              <c:yMode val="edge"/>
              <c:x val="2.9265075571224305E-2"/>
              <c:y val="0.2939268938323319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10983040"/>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27548954211546"/>
          <c:y val="9.7774615639389814E-2"/>
          <c:w val="0.84008254995579934"/>
          <c:h val="0.6482094888685472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'MMs finite cap'!$D$5:$D$25</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'MMs finite cap'!$E$5:$E$25</c:f>
              <c:numCache>
                <c:formatCode>0%</c:formatCode>
                <c:ptCount val="21"/>
                <c:pt idx="0">
                  <c:v>0.9753099120086951</c:v>
                </c:pt>
                <c:pt idx="1">
                  <c:v>2.4382747800217378E-2</c:v>
                </c:pt>
                <c:pt idx="2">
                  <c:v>3.0478434750271725E-4</c:v>
                </c:pt>
                <c:pt idx="3">
                  <c:v>2.5398695625226434E-6</c:v>
                </c:pt>
                <c:pt idx="4">
                  <c:v>1.5874184765766521E-8</c:v>
                </c:pt>
                <c:pt idx="5">
                  <c:v>9.9213654786040761E-11</c:v>
                </c:pt>
                <c:pt idx="6">
                  <c:v>6.2008534241275477E-13</c:v>
                </c:pt>
                <c:pt idx="7">
                  <c:v>3.875533390079717E-15</c:v>
                </c:pt>
                <c:pt idx="8">
                  <c:v>2.4222083687998235E-17</c:v>
                </c:pt>
                <c:pt idx="9">
                  <c:v>1.5138802304998896E-19</c:v>
                </c:pt>
                <c:pt idx="10">
                  <c:v>9.4617514406243104E-22</c:v>
                </c:pt>
                <c:pt idx="11">
                  <c:v>5.9135946503901938E-24</c:v>
                </c:pt>
                <c:pt idx="12">
                  <c:v>3.695996656493871E-26</c:v>
                </c:pt>
                <c:pt idx="13">
                  <c:v>2.3099979103086693E-28</c:v>
                </c:pt>
                <c:pt idx="14">
                  <c:v>1.4437486939429185E-30</c:v>
                </c:pt>
                <c:pt idx="15">
                  <c:v>9.0234293371432405E-33</c:v>
                </c:pt>
                <c:pt idx="16">
                  <c:v>5.6396433357145253E-35</c:v>
                </c:pt>
                <c:pt idx="17">
                  <c:v>3.5247770848215779E-37</c:v>
                </c:pt>
                <c:pt idx="18">
                  <c:v>2.2029856780134863E-39</c:v>
                </c:pt>
                <c:pt idx="19">
                  <c:v>1.3768660487584291E-41</c:v>
                </c:pt>
                <c:pt idx="20">
                  <c:v>8.6054128047401814E-44</c:v>
                </c:pt>
              </c:numCache>
            </c:numRef>
          </c:val>
          <c:extLst>
            <c:ext xmlns:c16="http://schemas.microsoft.com/office/drawing/2014/chart" uri="{C3380CC4-5D6E-409C-BE32-E72D297353CC}">
              <c16:uniqueId val="{00000000-B510-44B3-BCE1-EDB45CB64A59}"/>
            </c:ext>
          </c:extLst>
        </c:ser>
        <c:dLbls>
          <c:showLegendKey val="0"/>
          <c:showVal val="0"/>
          <c:showCatName val="0"/>
          <c:showSerName val="0"/>
          <c:showPercent val="0"/>
          <c:showBubbleSize val="0"/>
        </c:dLbls>
        <c:gapWidth val="0"/>
        <c:axId val="111299584"/>
        <c:axId val="144450688"/>
      </c:barChart>
      <c:catAx>
        <c:axId val="111299584"/>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en-US"/>
                  <a:t>Number in system</a:t>
                </a:r>
              </a:p>
            </c:rich>
          </c:tx>
          <c:layout>
            <c:manualLayout>
              <c:xMode val="edge"/>
              <c:yMode val="edge"/>
              <c:x val="0.45447084869345766"/>
              <c:y val="0.8582437261658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44450688"/>
        <c:crosses val="autoZero"/>
        <c:auto val="1"/>
        <c:lblAlgn val="ctr"/>
        <c:lblOffset val="100"/>
        <c:tickLblSkip val="1"/>
        <c:tickMarkSkip val="1"/>
        <c:noMultiLvlLbl val="0"/>
      </c:catAx>
      <c:valAx>
        <c:axId val="144450688"/>
        <c:scaling>
          <c:orientation val="minMax"/>
        </c:scaling>
        <c:delete val="0"/>
        <c:axPos val="l"/>
        <c:title>
          <c:tx>
            <c:rich>
              <a:bodyPr/>
              <a:lstStyle/>
              <a:p>
                <a:pPr>
                  <a:defRPr sz="900" b="1" i="0" u="none" strike="noStrike" baseline="0">
                    <a:solidFill>
                      <a:srgbClr val="000000"/>
                    </a:solidFill>
                    <a:latin typeface="Arial"/>
                    <a:ea typeface="Arial"/>
                    <a:cs typeface="Arial"/>
                  </a:defRPr>
                </a:pPr>
                <a:r>
                  <a:rPr lang="en-US"/>
                  <a:t>Probability</a:t>
                </a:r>
              </a:p>
            </c:rich>
          </c:tx>
          <c:layout>
            <c:manualLayout>
              <c:xMode val="edge"/>
              <c:yMode val="edge"/>
              <c:x val="2.9265075571224305E-2"/>
              <c:y val="0.2897024375814459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11299584"/>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27548954211546"/>
          <c:y val="9.7774615639389814E-2"/>
          <c:w val="0.84008254995579934"/>
          <c:h val="0.6482094888685472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'MMs finite pop'!$D$7:$D$27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'MMs finite pop'!$E$7:$E$27</c:f>
              <c:numCache>
                <c:formatCode>0%</c:formatCode>
                <c:ptCount val="21"/>
                <c:pt idx="0">
                  <c:v>0.42114793523589095</c:v>
                </c:pt>
                <c:pt idx="1">
                  <c:v>0.36850444333140459</c:v>
                </c:pt>
                <c:pt idx="2">
                  <c:v>0.15661438841584696</c:v>
                </c:pt>
                <c:pt idx="3">
                  <c:v>4.3068956814357913E-2</c:v>
                </c:pt>
                <c:pt idx="4">
                  <c:v>8.6137913628715826E-3</c:v>
                </c:pt>
                <c:pt idx="5">
                  <c:v>1.6689220765563691E-3</c:v>
                </c:pt>
                <c:pt idx="6">
                  <c:v>3.1292288935431918E-4</c:v>
                </c:pt>
                <c:pt idx="7">
                  <c:v>5.671727369547036E-5</c:v>
                </c:pt>
                <c:pt idx="8">
                  <c:v>9.9255228967073133E-6</c:v>
                </c:pt>
                <c:pt idx="9">
                  <c:v>1.6749319888193592E-6</c:v>
                </c:pt>
                <c:pt idx="10">
                  <c:v>2.7217644818314586E-7</c:v>
                </c:pt>
                <c:pt idx="11">
                  <c:v>4.2527570028616542E-8</c:v>
                </c:pt>
                <c:pt idx="12">
                  <c:v>6.3791355042924807E-9</c:v>
                </c:pt>
                <c:pt idx="13">
                  <c:v>9.1700072874204418E-10</c:v>
                </c:pt>
                <c:pt idx="14">
                  <c:v>1.2608760020203107E-10</c:v>
                </c:pt>
                <c:pt idx="15">
                  <c:v>1.6548997526516577E-11</c:v>
                </c:pt>
                <c:pt idx="16">
                  <c:v>2.0686246908145721E-12</c:v>
                </c:pt>
                <c:pt idx="17">
                  <c:v>2.4564918203423043E-13</c:v>
                </c:pt>
                <c:pt idx="18">
                  <c:v>2.7635532978850925E-14</c:v>
                </c:pt>
                <c:pt idx="19">
                  <c:v>2.9362753790029107E-15</c:v>
                </c:pt>
                <c:pt idx="20">
                  <c:v>2.936275379002911E-16</c:v>
                </c:pt>
              </c:numCache>
            </c:numRef>
          </c:val>
          <c:extLst>
            <c:ext xmlns:c16="http://schemas.microsoft.com/office/drawing/2014/chart" uri="{C3380CC4-5D6E-409C-BE32-E72D297353CC}">
              <c16:uniqueId val="{00000000-A936-41B9-A84F-18F00ADBDBBA}"/>
            </c:ext>
          </c:extLst>
        </c:ser>
        <c:dLbls>
          <c:showLegendKey val="0"/>
          <c:showVal val="0"/>
          <c:showCatName val="0"/>
          <c:showSerName val="0"/>
          <c:showPercent val="0"/>
          <c:showBubbleSize val="0"/>
        </c:dLbls>
        <c:gapWidth val="0"/>
        <c:axId val="144587392"/>
        <c:axId val="165298560"/>
      </c:barChart>
      <c:catAx>
        <c:axId val="144587392"/>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en-US"/>
                  <a:t>Number in system</a:t>
                </a:r>
              </a:p>
            </c:rich>
          </c:tx>
          <c:layout>
            <c:manualLayout>
              <c:xMode val="edge"/>
              <c:yMode val="edge"/>
              <c:x val="0.45447079678402585"/>
              <c:y val="0.8582437261658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65298560"/>
        <c:crosses val="autoZero"/>
        <c:auto val="1"/>
        <c:lblAlgn val="ctr"/>
        <c:lblOffset val="100"/>
        <c:tickLblSkip val="1"/>
        <c:tickMarkSkip val="1"/>
        <c:noMultiLvlLbl val="0"/>
      </c:catAx>
      <c:valAx>
        <c:axId val="165298560"/>
        <c:scaling>
          <c:orientation val="minMax"/>
        </c:scaling>
        <c:delete val="0"/>
        <c:axPos val="l"/>
        <c:title>
          <c:tx>
            <c:rich>
              <a:bodyPr/>
              <a:lstStyle/>
              <a:p>
                <a:pPr>
                  <a:defRPr sz="900" b="1" i="0" u="none" strike="noStrike" baseline="0">
                    <a:solidFill>
                      <a:srgbClr val="000000"/>
                    </a:solidFill>
                    <a:latin typeface="Arial"/>
                    <a:ea typeface="Arial"/>
                    <a:cs typeface="Arial"/>
                  </a:defRPr>
                </a:pPr>
                <a:r>
                  <a:rPr lang="en-US"/>
                  <a:t>Probability</a:t>
                </a:r>
              </a:p>
            </c:rich>
          </c:tx>
          <c:layout>
            <c:manualLayout>
              <c:xMode val="edge"/>
              <c:yMode val="edge"/>
              <c:x val="2.9265184937280371E-2"/>
              <c:y val="0.2897024375814459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44587392"/>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Lines="5" dropStyle="combo" dx="39" fmlaLink="$O$1" fmlaRange="$N$1:$N$5" noThreeD="1" sel="5" val="0"/>
</file>

<file path=xl/ctrlProps/ctrlProp2.xml><?xml version="1.0" encoding="utf-8"?>
<formControlPr xmlns="http://schemas.microsoft.com/office/spreadsheetml/2009/9/main" objectType="Drop" dropLines="5" dropStyle="combo" dx="39" fmlaLink="$O$2" fmlaRange="$N$1:$N$5" noThreeD="1" sel="4" val="0"/>
</file>

<file path=xl/ctrlProps/ctrlProp3.xml><?xml version="1.0" encoding="utf-8"?>
<formControlPr xmlns="http://schemas.microsoft.com/office/spreadsheetml/2009/9/main" objectType="Drop" dropLines="5" dropStyle="combo" dx="39" fmlaLink="$O$3" fmlaRange="$N$1:$N$4" noThreeD="1" sel="3" val="0"/>
</file>

<file path=xl/ctrlProps/ctrlProp4.xml><?xml version="1.0" encoding="utf-8"?>
<formControlPr xmlns="http://schemas.microsoft.com/office/spreadsheetml/2009/9/main" objectType="Drop" dropLines="5" dropStyle="combo" dx="39" fmlaLink="$O$4" fmlaRange="$N$1:$N$4" noThreeD="1" sel="2" val="0"/>
</file>

<file path=xl/ctrlProps/ctrlProp5.xml><?xml version="1.0" encoding="utf-8"?>
<formControlPr xmlns="http://schemas.microsoft.com/office/spreadsheetml/2009/9/main" objectType="Drop" dropLines="5" dropStyle="combo" dx="39" fmlaLink="$O$5" fmlaRange="$N$1:$N$5" noThreeD="1" sel="2" val="0"/>
</file>

<file path=xl/ctrlProps/ctrlProp6.xml><?xml version="1.0" encoding="utf-8"?>
<formControlPr xmlns="http://schemas.microsoft.com/office/spreadsheetml/2009/9/main" objectType="Drop" dropLines="5" dropStyle="combo" dx="39" fmlaLink="$O$6" fmlaRange="$N$1:$N$5" noThreeD="1" sel="5" val="0"/>
</file>

<file path=xl/ctrlProps/ctrlProp7.xml><?xml version="1.0" encoding="utf-8"?>
<formControlPr xmlns="http://schemas.microsoft.com/office/spreadsheetml/2009/9/main" objectType="Drop" dropLines="5" dropStyle="combo" dx="39" fmlaLink="$O$7" fmlaRange="$N$1:$N$5" noThreeD="1" sel="5" val="0"/>
</file>

<file path=xl/ctrlProps/ctrlProp8.xml><?xml version="1.0" encoding="utf-8"?>
<formControlPr xmlns="http://schemas.microsoft.com/office/spreadsheetml/2009/9/main" objectType="Drop" dropLines="5" dropStyle="combo" dx="39" fmlaLink="$O$8" fmlaRange="$N$1:$N$5" noThreeD="1" sel="5" val="0"/>
</file>

<file path=xl/ctrlProps/ctrlProp9.xml><?xml version="1.0" encoding="utf-8"?>
<formControlPr xmlns="http://schemas.microsoft.com/office/spreadsheetml/2009/9/main" objectType="Drop" dropLines="5" dropStyle="combo" dx="39" fmlaLink="$O$9" fmlaRange="$N$1:$N$5" noThreeD="1" sel="3" val="0"/>
</file>

<file path=xl/ctrlProps/ctrlProp10.xml><?xml version="1.0" encoding="utf-8"?>
<formControlPr xmlns="http://schemas.microsoft.com/office/spreadsheetml/2009/9/main" objectType="Drop" dropLines="5" dropStyle="combo" dx="39" fmlaLink="$O$10" fmlaRange="$N$1:$N$5" noThreeD="1" sel="5" val="0"/>
</file>

<file path=xl/ctrlProps/ctrlProp11.xml><?xml version="1.0" encoding="utf-8"?>
<formControlPr xmlns="http://schemas.microsoft.com/office/spreadsheetml/2009/9/main" objectType="Drop" dropLines="5" dropStyle="combo" dx="39" fmlaLink="$O$11" fmlaRange="$N$1:$N$5" noThreeD="1" sel="3" val="0"/>
</file>

<file path=xl/ctrlProps/ctrlProp12.xml><?xml version="1.0" encoding="utf-8"?>
<formControlPr xmlns="http://schemas.microsoft.com/office/spreadsheetml/2009/9/main" objectType="Drop" dropLines="5" dropStyle="combo" dx="39" fmlaLink="$O$12" fmlaRange="$N$1:$N$5" noThreeD="1" sel="2" val="0"/>
</file>

<file path=xl/ctrlProps/ctrlProp13.xml><?xml version="1.0" encoding="utf-8"?>
<formControlPr xmlns="http://schemas.microsoft.com/office/spreadsheetml/2009/9/main" objectType="Drop" dropLines="5" dropStyle="combo" dx="39" fmlaLink="$O$13" fmlaRange="$N$1:$N$5" noThreeD="1" sel="4"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885825</xdr:colOff>
          <xdr:row>4</xdr:row>
          <xdr:rowOff>0</xdr:rowOff>
        </xdr:from>
        <xdr:to>
          <xdr:col>2</xdr:col>
          <xdr:colOff>1704975</xdr:colOff>
          <xdr:row>5</xdr:row>
          <xdr:rowOff>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5</xdr:row>
          <xdr:rowOff>9525</xdr:rowOff>
        </xdr:from>
        <xdr:to>
          <xdr:col>2</xdr:col>
          <xdr:colOff>1704975</xdr:colOff>
          <xdr:row>6</xdr:row>
          <xdr:rowOff>9525</xdr:rowOff>
        </xdr:to>
        <xdr:sp macro="" textlink="">
          <xdr:nvSpPr>
            <xdr:cNvPr id="7170" name="Drop Dow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6</xdr:row>
          <xdr:rowOff>9525</xdr:rowOff>
        </xdr:from>
        <xdr:to>
          <xdr:col>2</xdr:col>
          <xdr:colOff>1704975</xdr:colOff>
          <xdr:row>7</xdr:row>
          <xdr:rowOff>9525</xdr:rowOff>
        </xdr:to>
        <xdr:sp macro="" textlink="">
          <xdr:nvSpPr>
            <xdr:cNvPr id="7171" name="Drop Dow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56</xdr:row>
          <xdr:rowOff>0</xdr:rowOff>
        </xdr:from>
        <xdr:to>
          <xdr:col>3</xdr:col>
          <xdr:colOff>9525</xdr:colOff>
          <xdr:row>57</xdr:row>
          <xdr:rowOff>0</xdr:rowOff>
        </xdr:to>
        <xdr:sp macro="" textlink="">
          <xdr:nvSpPr>
            <xdr:cNvPr id="7172" name="Drop Dow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74</xdr:row>
          <xdr:rowOff>180975</xdr:rowOff>
        </xdr:from>
        <xdr:to>
          <xdr:col>3</xdr:col>
          <xdr:colOff>0</xdr:colOff>
          <xdr:row>75</xdr:row>
          <xdr:rowOff>180975</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75</xdr:row>
          <xdr:rowOff>171450</xdr:rowOff>
        </xdr:from>
        <xdr:to>
          <xdr:col>3</xdr:col>
          <xdr:colOff>0</xdr:colOff>
          <xdr:row>76</xdr:row>
          <xdr:rowOff>171450</xdr:rowOff>
        </xdr:to>
        <xdr:sp macro="" textlink="">
          <xdr:nvSpPr>
            <xdr:cNvPr id="7174" name="Drop Dow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76</xdr:row>
          <xdr:rowOff>180975</xdr:rowOff>
        </xdr:from>
        <xdr:to>
          <xdr:col>3</xdr:col>
          <xdr:colOff>0</xdr:colOff>
          <xdr:row>77</xdr:row>
          <xdr:rowOff>180975</xdr:rowOff>
        </xdr:to>
        <xdr:sp macro="" textlink="">
          <xdr:nvSpPr>
            <xdr:cNvPr id="7175" name="Drop Dow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77</xdr:row>
          <xdr:rowOff>180975</xdr:rowOff>
        </xdr:from>
        <xdr:to>
          <xdr:col>3</xdr:col>
          <xdr:colOff>0</xdr:colOff>
          <xdr:row>78</xdr:row>
          <xdr:rowOff>180975</xdr:rowOff>
        </xdr:to>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78</xdr:row>
          <xdr:rowOff>180975</xdr:rowOff>
        </xdr:from>
        <xdr:to>
          <xdr:col>3</xdr:col>
          <xdr:colOff>0</xdr:colOff>
          <xdr:row>79</xdr:row>
          <xdr:rowOff>180975</xdr:rowOff>
        </xdr:to>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79</xdr:row>
          <xdr:rowOff>171450</xdr:rowOff>
        </xdr:from>
        <xdr:to>
          <xdr:col>3</xdr:col>
          <xdr:colOff>0</xdr:colOff>
          <xdr:row>80</xdr:row>
          <xdr:rowOff>171450</xdr:rowOff>
        </xdr:to>
        <xdr:sp macro="" textlink="">
          <xdr:nvSpPr>
            <xdr:cNvPr id="7178" name="Drop Dow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80</xdr:row>
          <xdr:rowOff>180975</xdr:rowOff>
        </xdr:from>
        <xdr:to>
          <xdr:col>3</xdr:col>
          <xdr:colOff>0</xdr:colOff>
          <xdr:row>81</xdr:row>
          <xdr:rowOff>180975</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82</xdr:row>
          <xdr:rowOff>0</xdr:rowOff>
        </xdr:from>
        <xdr:to>
          <xdr:col>3</xdr:col>
          <xdr:colOff>0</xdr:colOff>
          <xdr:row>83</xdr:row>
          <xdr:rowOff>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219</xdr:row>
          <xdr:rowOff>0</xdr:rowOff>
        </xdr:from>
        <xdr:to>
          <xdr:col>3</xdr:col>
          <xdr:colOff>0</xdr:colOff>
          <xdr:row>220</xdr:row>
          <xdr:rowOff>0</xdr:rowOff>
        </xdr:to>
        <xdr:sp macro="" textlink="">
          <xdr:nvSpPr>
            <xdr:cNvPr id="7181" name="Drop Dow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0</xdr:colOff>
      <xdr:row>5</xdr:row>
      <xdr:rowOff>142085</xdr:rowOff>
    </xdr:from>
    <xdr:to>
      <xdr:col>22</xdr:col>
      <xdr:colOff>600829</xdr:colOff>
      <xdr:row>21</xdr:row>
      <xdr:rowOff>96689</xdr:rowOff>
    </xdr:to>
    <xdr:pic>
      <xdr:nvPicPr>
        <xdr:cNvPr id="2" name="Picture 1">
          <a:extLst>
            <a:ext uri="{FF2B5EF4-FFF2-40B4-BE49-F238E27FC236}">
              <a16:creationId xmlns:a16="http://schemas.microsoft.com/office/drawing/2014/main" id="{9C595EA9-54A3-4E8C-4164-B86BC409CC70}"/>
            </a:ext>
          </a:extLst>
        </xdr:cNvPr>
        <xdr:cNvPicPr>
          <a:picLocks noChangeAspect="1"/>
        </xdr:cNvPicPr>
      </xdr:nvPicPr>
      <xdr:blipFill>
        <a:blip xmlns:r="http://schemas.openxmlformats.org/officeDocument/2006/relationships" r:embed="rId1"/>
        <a:stretch>
          <a:fillRect/>
        </a:stretch>
      </xdr:blipFill>
      <xdr:spPr>
        <a:xfrm>
          <a:off x="10058400" y="1142210"/>
          <a:ext cx="5106154" cy="31550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276225</xdr:colOff>
      <xdr:row>0</xdr:row>
      <xdr:rowOff>180975</xdr:rowOff>
    </xdr:from>
    <xdr:to>
      <xdr:col>11</xdr:col>
      <xdr:colOff>1009650</xdr:colOff>
      <xdr:row>19</xdr:row>
      <xdr:rowOff>135256</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12</xdr:row>
      <xdr:rowOff>85725</xdr:rowOff>
    </xdr:to>
    <xdr:graphicFrame macro="">
      <xdr:nvGraphicFramePr>
        <xdr:cNvPr id="1028" name="Chart 1">
          <a:extLst>
            <a:ext uri="{FF2B5EF4-FFF2-40B4-BE49-F238E27FC236}">
              <a16:creationId xmlns:a16="http://schemas.microsoft.com/office/drawing/2014/main" id="{00000000-0008-0000-0C00-00000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378664</xdr:colOff>
      <xdr:row>14</xdr:row>
      <xdr:rowOff>111245</xdr:rowOff>
    </xdr:from>
    <xdr:to>
      <xdr:col>10</xdr:col>
      <xdr:colOff>111245</xdr:colOff>
      <xdr:row>17</xdr:row>
      <xdr:rowOff>17284</xdr:rowOff>
    </xdr:to>
    <xdr:sp macro="" textlink="">
      <xdr:nvSpPr>
        <xdr:cNvPr id="1027" name="Text Box 3">
          <a:extLst>
            <a:ext uri="{FF2B5EF4-FFF2-40B4-BE49-F238E27FC236}">
              <a16:creationId xmlns:a16="http://schemas.microsoft.com/office/drawing/2014/main" id="{00000000-0008-0000-0C00-000003040000}"/>
            </a:ext>
          </a:extLst>
        </xdr:cNvPr>
        <xdr:cNvSpPr txBox="1">
          <a:spLocks noChangeArrowheads="1"/>
        </xdr:cNvSpPr>
      </xdr:nvSpPr>
      <xdr:spPr bwMode="auto">
        <a:xfrm>
          <a:off x="5443268" y="2803585"/>
          <a:ext cx="2838090" cy="414068"/>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13</xdr:row>
      <xdr:rowOff>85725</xdr:rowOff>
    </xdr:to>
    <xdr:graphicFrame macro="">
      <xdr:nvGraphicFramePr>
        <xdr:cNvPr id="2058" name="Chart 1">
          <a:extLst>
            <a:ext uri="{FF2B5EF4-FFF2-40B4-BE49-F238E27FC236}">
              <a16:creationId xmlns:a16="http://schemas.microsoft.com/office/drawing/2014/main" id="{00000000-0008-0000-0D00-00000A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283773</xdr:colOff>
      <xdr:row>15</xdr:row>
      <xdr:rowOff>24981</xdr:rowOff>
    </xdr:from>
    <xdr:to>
      <xdr:col>10</xdr:col>
      <xdr:colOff>17254</xdr:colOff>
      <xdr:row>17</xdr:row>
      <xdr:rowOff>93992</xdr:rowOff>
    </xdr:to>
    <xdr:sp macro="" textlink="">
      <xdr:nvSpPr>
        <xdr:cNvPr id="2057" name="Text Box 9">
          <a:extLst>
            <a:ext uri="{FF2B5EF4-FFF2-40B4-BE49-F238E27FC236}">
              <a16:creationId xmlns:a16="http://schemas.microsoft.com/office/drawing/2014/main" id="{00000000-0008-0000-0D00-000009080000}"/>
            </a:ext>
          </a:extLst>
        </xdr:cNvPr>
        <xdr:cNvSpPr txBox="1">
          <a:spLocks noChangeArrowheads="1"/>
        </xdr:cNvSpPr>
      </xdr:nvSpPr>
      <xdr:spPr bwMode="auto">
        <a:xfrm>
          <a:off x="5348377" y="2907102"/>
          <a:ext cx="2829465" cy="414068"/>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13</xdr:row>
      <xdr:rowOff>85725</xdr:rowOff>
    </xdr:to>
    <xdr:graphicFrame macro="">
      <xdr:nvGraphicFramePr>
        <xdr:cNvPr id="4103" name="Chart 1">
          <a:extLst>
            <a:ext uri="{FF2B5EF4-FFF2-40B4-BE49-F238E27FC236}">
              <a16:creationId xmlns:a16="http://schemas.microsoft.com/office/drawing/2014/main" id="{00000000-0008-0000-0E00-000007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439049</xdr:colOff>
      <xdr:row>14</xdr:row>
      <xdr:rowOff>138023</xdr:rowOff>
    </xdr:from>
    <xdr:to>
      <xdr:col>10</xdr:col>
      <xdr:colOff>172529</xdr:colOff>
      <xdr:row>17</xdr:row>
      <xdr:rowOff>33825</xdr:rowOff>
    </xdr:to>
    <xdr:sp macro="" textlink="">
      <xdr:nvSpPr>
        <xdr:cNvPr id="4102" name="Text Box 6">
          <a:extLst>
            <a:ext uri="{FF2B5EF4-FFF2-40B4-BE49-F238E27FC236}">
              <a16:creationId xmlns:a16="http://schemas.microsoft.com/office/drawing/2014/main" id="{00000000-0008-0000-0E00-000006100000}"/>
            </a:ext>
          </a:extLst>
        </xdr:cNvPr>
        <xdr:cNvSpPr txBox="1">
          <a:spLocks noChangeArrowheads="1"/>
        </xdr:cNvSpPr>
      </xdr:nvSpPr>
      <xdr:spPr bwMode="auto">
        <a:xfrm>
          <a:off x="5529532" y="2838091"/>
          <a:ext cx="2829464" cy="42269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257"/>
  <sheetViews>
    <sheetView topLeftCell="A94" zoomScaleNormal="100" workbookViewId="0">
      <selection activeCell="D100" sqref="D100"/>
    </sheetView>
  </sheetViews>
  <sheetFormatPr defaultColWidth="9.140625" defaultRowHeight="15" x14ac:dyDescent="0.25"/>
  <cols>
    <col min="1" max="1" width="9.140625" style="125"/>
    <col min="2" max="2" width="13.42578125" style="125" customWidth="1"/>
    <col min="3" max="3" width="25.7109375" style="125" bestFit="1" customWidth="1"/>
    <col min="4" max="4" width="19.42578125" style="125" bestFit="1" customWidth="1"/>
    <col min="5" max="5" width="16.5703125" style="125" customWidth="1"/>
    <col min="6" max="6" width="17.85546875" style="125" customWidth="1"/>
    <col min="7" max="7" width="14.85546875" style="125" customWidth="1"/>
    <col min="8" max="13" width="9.140625" style="125"/>
    <col min="14" max="14" width="12.7109375" style="124" hidden="1" customWidth="1"/>
    <col min="15" max="15" width="0" style="124" hidden="1" customWidth="1"/>
    <col min="16" max="16" width="44.140625" style="124" hidden="1" customWidth="1"/>
    <col min="17" max="17" width="0" style="124" hidden="1" customWidth="1"/>
    <col min="18" max="16384" width="9.140625" style="25"/>
  </cols>
  <sheetData>
    <row r="1" spans="1:17" x14ac:dyDescent="0.25">
      <c r="C1" s="126" t="s">
        <v>153</v>
      </c>
      <c r="N1" s="123" t="s">
        <v>496</v>
      </c>
      <c r="O1" s="124">
        <v>5</v>
      </c>
      <c r="P1" s="123" t="s">
        <v>241</v>
      </c>
      <c r="Q1" s="122">
        <f>IF(ISERROR(C2),"",IF(ISBLANK(C2),"",C2))</f>
        <v>1724709</v>
      </c>
    </row>
    <row r="2" spans="1:17" x14ac:dyDescent="0.25">
      <c r="B2" s="126" t="s">
        <v>154</v>
      </c>
      <c r="C2" s="154">
        <v>1724709</v>
      </c>
      <c r="N2" s="123" t="s">
        <v>497</v>
      </c>
      <c r="O2" s="124">
        <v>4</v>
      </c>
      <c r="P2" s="123" t="s">
        <v>242</v>
      </c>
      <c r="Q2" s="122" t="str">
        <f>IF(ISBLANK(O1),"",INDEX($N$1:$N$5,O1))</f>
        <v>d</v>
      </c>
    </row>
    <row r="3" spans="1:17" x14ac:dyDescent="0.25">
      <c r="A3" s="127" t="s">
        <v>209</v>
      </c>
      <c r="B3" s="128"/>
      <c r="C3" s="128"/>
      <c r="D3" s="128"/>
      <c r="E3" s="128"/>
      <c r="F3" s="128"/>
      <c r="G3" s="128"/>
      <c r="H3" s="128"/>
      <c r="I3" s="128"/>
      <c r="N3" s="123" t="s">
        <v>115</v>
      </c>
      <c r="O3" s="124">
        <v>3</v>
      </c>
      <c r="P3" s="123" t="s">
        <v>243</v>
      </c>
      <c r="Q3" s="122" t="str">
        <f t="shared" ref="Q3:Q4" si="0">IF(ISBLANK(O2),"",INDEX($N$1:$N$5,O2))</f>
        <v>c</v>
      </c>
    </row>
    <row r="4" spans="1:17" x14ac:dyDescent="0.25">
      <c r="N4" s="123" t="s">
        <v>498</v>
      </c>
      <c r="O4" s="124">
        <v>2</v>
      </c>
      <c r="P4" s="123" t="s">
        <v>244</v>
      </c>
      <c r="Q4" s="122" t="str">
        <f t="shared" si="0"/>
        <v>b</v>
      </c>
    </row>
    <row r="5" spans="1:17" x14ac:dyDescent="0.25">
      <c r="B5" s="126" t="s">
        <v>155</v>
      </c>
      <c r="C5" s="129" t="s">
        <v>156</v>
      </c>
      <c r="N5" s="123" t="s">
        <v>499</v>
      </c>
      <c r="O5" s="124">
        <v>2</v>
      </c>
      <c r="P5" s="123" t="s">
        <v>245</v>
      </c>
      <c r="Q5" s="122">
        <f>IF(ISERROR(C9),"",IF(ISBLANK(C9),"",C9))</f>
        <v>44.194711538461547</v>
      </c>
    </row>
    <row r="6" spans="1:17" x14ac:dyDescent="0.25">
      <c r="B6" s="126" t="s">
        <v>157</v>
      </c>
      <c r="C6" s="129" t="s">
        <v>156</v>
      </c>
      <c r="O6" s="124">
        <v>5</v>
      </c>
      <c r="P6" s="123" t="s">
        <v>246</v>
      </c>
      <c r="Q6" s="122">
        <f>IF(ISERROR(D13),"",IF(ISBLANK(D13),"",D13))</f>
        <v>40.016666666666666</v>
      </c>
    </row>
    <row r="7" spans="1:17" x14ac:dyDescent="0.25">
      <c r="B7" s="126" t="s">
        <v>158</v>
      </c>
      <c r="C7" s="129" t="s">
        <v>159</v>
      </c>
      <c r="O7" s="124">
        <v>5</v>
      </c>
      <c r="P7" s="123" t="s">
        <v>247</v>
      </c>
      <c r="Q7" s="122">
        <f t="shared" ref="Q7:Q12" si="1">IF(ISERROR(D14),"",IF(ISBLANK(D14),"",D14))</f>
        <v>34.333333333333336</v>
      </c>
    </row>
    <row r="8" spans="1:17" x14ac:dyDescent="0.25">
      <c r="O8" s="124">
        <v>5</v>
      </c>
      <c r="P8" s="123" t="s">
        <v>248</v>
      </c>
      <c r="Q8" s="122">
        <f t="shared" si="1"/>
        <v>26.141666666666669</v>
      </c>
    </row>
    <row r="9" spans="1:17" x14ac:dyDescent="0.25">
      <c r="B9" s="126" t="s">
        <v>160</v>
      </c>
      <c r="C9" s="155">
        <v>44.194711538461547</v>
      </c>
      <c r="O9" s="124">
        <v>3</v>
      </c>
      <c r="P9" s="123" t="s">
        <v>249</v>
      </c>
      <c r="Q9" s="122">
        <f t="shared" si="1"/>
        <v>27.958333333333332</v>
      </c>
    </row>
    <row r="10" spans="1:17" x14ac:dyDescent="0.25">
      <c r="O10" s="124">
        <v>5</v>
      </c>
      <c r="P10" s="123" t="s">
        <v>250</v>
      </c>
      <c r="Q10" s="122">
        <f t="shared" si="1"/>
        <v>29.758333333333329</v>
      </c>
    </row>
    <row r="11" spans="1:17" x14ac:dyDescent="0.25">
      <c r="B11" s="126" t="s">
        <v>161</v>
      </c>
      <c r="O11" s="124">
        <v>3</v>
      </c>
      <c r="P11" s="123" t="s">
        <v>251</v>
      </c>
      <c r="Q11" s="122">
        <f t="shared" si="1"/>
        <v>38.091666666666669</v>
      </c>
    </row>
    <row r="12" spans="1:17" x14ac:dyDescent="0.25">
      <c r="B12" s="125" t="s">
        <v>45</v>
      </c>
      <c r="C12" s="125" t="s">
        <v>46</v>
      </c>
      <c r="D12" s="125" t="s">
        <v>162</v>
      </c>
      <c r="O12" s="124">
        <v>2</v>
      </c>
      <c r="P12" s="123" t="s">
        <v>252</v>
      </c>
      <c r="Q12" s="122">
        <f t="shared" si="1"/>
        <v>50.641666666666673</v>
      </c>
    </row>
    <row r="13" spans="1:17" x14ac:dyDescent="0.25">
      <c r="B13" s="125">
        <v>2020</v>
      </c>
      <c r="C13" s="125" t="s">
        <v>48</v>
      </c>
      <c r="D13" s="155">
        <v>40.016666666666666</v>
      </c>
      <c r="O13" s="124">
        <v>4</v>
      </c>
      <c r="P13" s="123" t="s">
        <v>253</v>
      </c>
      <c r="Q13" s="122">
        <f>IF(ISERROR(D20),"",IF(ISBLANK(D20),"",D20))</f>
        <v>56.616666666666674</v>
      </c>
    </row>
    <row r="14" spans="1:17" x14ac:dyDescent="0.25">
      <c r="B14" s="125">
        <v>2020</v>
      </c>
      <c r="C14" s="125" t="s">
        <v>49</v>
      </c>
      <c r="D14" s="155">
        <v>34.333333333333336</v>
      </c>
      <c r="P14" s="123" t="s">
        <v>254</v>
      </c>
      <c r="Q14" s="122">
        <f>IF(ISERROR(D35),"",IF(ISBLANK(D35),"",D35))</f>
        <v>114.32253832299489</v>
      </c>
    </row>
    <row r="15" spans="1:17" x14ac:dyDescent="0.25">
      <c r="B15" s="125">
        <v>2020</v>
      </c>
      <c r="C15" s="125" t="s">
        <v>50</v>
      </c>
      <c r="D15" s="155">
        <v>26.141666666666669</v>
      </c>
      <c r="P15" s="123" t="s">
        <v>255</v>
      </c>
      <c r="Q15" s="122">
        <f>IF(ISERROR(E35),"",IF(ISBLANK(E35),"",E35))</f>
        <v>5.955722720317004</v>
      </c>
    </row>
    <row r="16" spans="1:17" x14ac:dyDescent="0.25">
      <c r="B16" s="125">
        <v>2020</v>
      </c>
      <c r="C16" s="125" t="s">
        <v>51</v>
      </c>
      <c r="D16" s="155">
        <v>27.958333333333332</v>
      </c>
      <c r="P16" s="123" t="s">
        <v>256</v>
      </c>
      <c r="Q16" s="122">
        <f>IF(ISERROR(F24),"",IF(ISBLANK(F24),"",F24))</f>
        <v>0.10467335769805367</v>
      </c>
    </row>
    <row r="17" spans="2:17" x14ac:dyDescent="0.25">
      <c r="B17" s="125">
        <v>2020</v>
      </c>
      <c r="C17" s="125" t="s">
        <v>52</v>
      </c>
      <c r="D17" s="155">
        <v>29.758333333333329</v>
      </c>
      <c r="P17" s="123" t="s">
        <v>257</v>
      </c>
      <c r="Q17" s="122">
        <f t="shared" ref="Q17:Q26" si="2">IF(ISERROR(F25),"",IF(ISBLANK(F25),"",F25))</f>
        <v>0.19484174075636443</v>
      </c>
    </row>
    <row r="18" spans="2:17" x14ac:dyDescent="0.25">
      <c r="B18" s="125">
        <v>2020</v>
      </c>
      <c r="C18" s="125" t="s">
        <v>53</v>
      </c>
      <c r="D18" s="155">
        <v>38.091666666666669</v>
      </c>
      <c r="P18" s="123" t="s">
        <v>258</v>
      </c>
      <c r="Q18" s="122">
        <f t="shared" si="2"/>
        <v>0.85327723724966131</v>
      </c>
    </row>
    <row r="19" spans="2:17" x14ac:dyDescent="0.25">
      <c r="B19" s="125">
        <v>2020</v>
      </c>
      <c r="C19" s="125" t="s">
        <v>54</v>
      </c>
      <c r="D19" s="155">
        <v>50.641666666666673</v>
      </c>
      <c r="P19" s="123" t="s">
        <v>259</v>
      </c>
      <c r="Q19" s="122">
        <f t="shared" si="2"/>
        <v>0.92750073812716138</v>
      </c>
    </row>
    <row r="20" spans="2:17" x14ac:dyDescent="0.25">
      <c r="B20" s="125">
        <v>2020</v>
      </c>
      <c r="C20" s="125" t="s">
        <v>55</v>
      </c>
      <c r="D20" s="155">
        <v>56.616666666666674</v>
      </c>
      <c r="P20" s="123" t="s">
        <v>260</v>
      </c>
      <c r="Q20" s="122">
        <f t="shared" si="2"/>
        <v>1.5347989967207414</v>
      </c>
    </row>
    <row r="21" spans="2:17" x14ac:dyDescent="0.25">
      <c r="P21" s="123" t="s">
        <v>261</v>
      </c>
      <c r="Q21" s="122">
        <f t="shared" si="2"/>
        <v>1.9384182972805304</v>
      </c>
    </row>
    <row r="22" spans="2:17" x14ac:dyDescent="0.25">
      <c r="B22" s="126" t="s">
        <v>163</v>
      </c>
      <c r="P22" s="123" t="s">
        <v>262</v>
      </c>
      <c r="Q22" s="122">
        <f t="shared" si="2"/>
        <v>1.7236346800548521</v>
      </c>
    </row>
    <row r="23" spans="2:17" x14ac:dyDescent="0.25">
      <c r="B23" s="125" t="s">
        <v>45</v>
      </c>
      <c r="C23" s="125" t="s">
        <v>46</v>
      </c>
      <c r="F23" s="125" t="s">
        <v>164</v>
      </c>
      <c r="P23" s="123" t="s">
        <v>263</v>
      </c>
      <c r="Q23" s="122">
        <f t="shared" si="2"/>
        <v>1.7037913852337474</v>
      </c>
    </row>
    <row r="24" spans="2:17" x14ac:dyDescent="0.25">
      <c r="B24" s="125">
        <v>2019</v>
      </c>
      <c r="C24" s="125" t="s">
        <v>48</v>
      </c>
      <c r="F24" s="155">
        <v>0.10467335769805367</v>
      </c>
      <c r="P24" s="123" t="s">
        <v>264</v>
      </c>
      <c r="Q24" s="122">
        <f t="shared" si="2"/>
        <v>1.2570571689897285</v>
      </c>
    </row>
    <row r="25" spans="2:17" x14ac:dyDescent="0.25">
      <c r="B25" s="125">
        <v>2019</v>
      </c>
      <c r="C25" s="125" t="s">
        <v>49</v>
      </c>
      <c r="F25" s="155">
        <v>0.19484174075636443</v>
      </c>
      <c r="P25" s="123" t="s">
        <v>265</v>
      </c>
      <c r="Q25" s="122">
        <f t="shared" si="2"/>
        <v>0.85672853971667706</v>
      </c>
    </row>
    <row r="26" spans="2:17" x14ac:dyDescent="0.25">
      <c r="B26" s="125">
        <v>2019</v>
      </c>
      <c r="C26" s="125" t="s">
        <v>50</v>
      </c>
      <c r="F26" s="155">
        <v>0.85327723724966131</v>
      </c>
      <c r="P26" s="123" t="s">
        <v>266</v>
      </c>
      <c r="Q26" s="122">
        <f t="shared" si="2"/>
        <v>0.2865481838718249</v>
      </c>
    </row>
    <row r="27" spans="2:17" x14ac:dyDescent="0.25">
      <c r="B27" s="125">
        <v>2019</v>
      </c>
      <c r="C27" s="125" t="s">
        <v>51</v>
      </c>
      <c r="F27" s="155">
        <v>0.92750073812716138</v>
      </c>
      <c r="P27" s="123" t="s">
        <v>267</v>
      </c>
      <c r="Q27" s="122">
        <f>IF(ISERROR(F35),"",IF(ISBLANK(F35),"",F35))</f>
        <v>1.06811796985913E-2</v>
      </c>
    </row>
    <row r="28" spans="2:17" x14ac:dyDescent="0.25">
      <c r="B28" s="125">
        <v>2019</v>
      </c>
      <c r="C28" s="125" t="s">
        <v>52</v>
      </c>
      <c r="F28" s="155">
        <v>1.5347989967207414</v>
      </c>
      <c r="P28" s="123" t="s">
        <v>268</v>
      </c>
      <c r="Q28" s="122">
        <f>IF(ISERROR(D38),"",IF(ISBLANK(D38),"",D38))</f>
        <v>12.589929441486458</v>
      </c>
    </row>
    <row r="29" spans="2:17" x14ac:dyDescent="0.25">
      <c r="B29" s="125">
        <v>2019</v>
      </c>
      <c r="C29" s="125" t="s">
        <v>53</v>
      </c>
      <c r="F29" s="155">
        <v>1.9384182972805304</v>
      </c>
      <c r="P29" s="123" t="s">
        <v>269</v>
      </c>
      <c r="Q29" s="122">
        <f t="shared" ref="Q29:Q34" si="3">IF(ISERROR(D39),"",IF(ISBLANK(D39),"",D39))</f>
        <v>24.595649139116098</v>
      </c>
    </row>
    <row r="30" spans="2:17" x14ac:dyDescent="0.25">
      <c r="B30" s="125">
        <v>2019</v>
      </c>
      <c r="C30" s="125" t="s">
        <v>54</v>
      </c>
      <c r="F30" s="155">
        <v>1.7236346800548521</v>
      </c>
      <c r="P30" s="123" t="s">
        <v>270</v>
      </c>
      <c r="Q30" s="122">
        <f t="shared" si="3"/>
        <v>112.79446754146498</v>
      </c>
    </row>
    <row r="31" spans="2:17" x14ac:dyDescent="0.25">
      <c r="B31" s="125">
        <v>2019</v>
      </c>
      <c r="C31" s="125" t="s">
        <v>55</v>
      </c>
      <c r="F31" s="155">
        <v>1.7037913852337474</v>
      </c>
      <c r="P31" s="123" t="s">
        <v>271</v>
      </c>
      <c r="Q31" s="122">
        <f t="shared" si="3"/>
        <v>128.12998755584738</v>
      </c>
    </row>
    <row r="32" spans="2:17" x14ac:dyDescent="0.25">
      <c r="B32" s="125">
        <v>2019</v>
      </c>
      <c r="C32" s="125" t="s">
        <v>56</v>
      </c>
      <c r="F32" s="155">
        <v>1.2570571689897285</v>
      </c>
      <c r="P32" s="123" t="s">
        <v>272</v>
      </c>
      <c r="Q32" s="122">
        <f t="shared" si="3"/>
        <v>221.16630340014837</v>
      </c>
    </row>
    <row r="33" spans="1:17" x14ac:dyDescent="0.25">
      <c r="B33" s="125">
        <v>2019</v>
      </c>
      <c r="C33" s="125" t="s">
        <v>57</v>
      </c>
      <c r="F33" s="155">
        <v>0.85672853971667706</v>
      </c>
      <c r="P33" s="123" t="s">
        <v>273</v>
      </c>
      <c r="Q33" s="122">
        <f t="shared" si="3"/>
        <v>290.87299144439908</v>
      </c>
    </row>
    <row r="34" spans="1:17" x14ac:dyDescent="0.25">
      <c r="B34" s="125">
        <v>2019</v>
      </c>
      <c r="C34" s="125" t="s">
        <v>58</v>
      </c>
      <c r="D34" s="125" t="s">
        <v>61</v>
      </c>
      <c r="E34" s="125" t="s">
        <v>62</v>
      </c>
      <c r="F34" s="155">
        <v>0.2865481838718249</v>
      </c>
      <c r="P34" s="123" t="s">
        <v>274</v>
      </c>
      <c r="Q34" s="122">
        <f t="shared" si="3"/>
        <v>268.90872334411694</v>
      </c>
    </row>
    <row r="35" spans="1:17" x14ac:dyDescent="0.25">
      <c r="B35" s="125">
        <v>2019</v>
      </c>
      <c r="C35" s="125" t="s">
        <v>59</v>
      </c>
      <c r="D35" s="155">
        <v>114.32253832299489</v>
      </c>
      <c r="E35" s="155">
        <v>5.955722720317004</v>
      </c>
      <c r="F35" s="155">
        <v>1.06811796985913E-2</v>
      </c>
      <c r="P35" s="123" t="s">
        <v>275</v>
      </c>
      <c r="Q35" s="122">
        <f>IF(ISERROR(D45),"",IF(ISBLANK(D45),"",D45))</f>
        <v>275.96022844250973</v>
      </c>
    </row>
    <row r="36" spans="1:17" customFormat="1" x14ac:dyDescent="0.25">
      <c r="A36" s="130"/>
      <c r="B36" s="130"/>
      <c r="C36" s="130"/>
      <c r="D36" s="130"/>
      <c r="E36" s="130"/>
      <c r="F36" s="130"/>
      <c r="G36" s="130"/>
      <c r="H36" s="130"/>
      <c r="I36" s="130"/>
      <c r="J36" s="130"/>
      <c r="K36" s="130"/>
      <c r="L36" s="130"/>
      <c r="M36" s="130"/>
      <c r="N36" s="122"/>
      <c r="O36" s="122"/>
      <c r="P36" s="123" t="s">
        <v>276</v>
      </c>
      <c r="Q36" s="122">
        <f>IF(ISERROR(D47),"",IF(ISBLANK(D47),"",D47))</f>
        <v>-114.77103503863614</v>
      </c>
    </row>
    <row r="37" spans="1:17" x14ac:dyDescent="0.25">
      <c r="B37" s="125" t="s">
        <v>45</v>
      </c>
      <c r="C37" s="125" t="s">
        <v>46</v>
      </c>
      <c r="D37" s="125" t="s">
        <v>165</v>
      </c>
      <c r="P37" s="123" t="s">
        <v>277</v>
      </c>
      <c r="Q37" s="122">
        <f>IF(ISERROR(C50),"",IF(ISBLANK(C50),"",C50))</f>
        <v>2.9078021378339338E-2</v>
      </c>
    </row>
    <row r="38" spans="1:17" x14ac:dyDescent="0.25">
      <c r="B38" s="125">
        <v>2020</v>
      </c>
      <c r="C38" s="125" t="s">
        <v>48</v>
      </c>
      <c r="D38" s="155">
        <v>12.589929441486458</v>
      </c>
      <c r="P38" s="123" t="s">
        <v>278</v>
      </c>
      <c r="Q38" s="122">
        <f t="shared" ref="Q38:Q39" si="4">IF(ISERROR(C51),"",IF(ISBLANK(C51),"",C51))</f>
        <v>0.29333075931501862</v>
      </c>
    </row>
    <row r="39" spans="1:17" x14ac:dyDescent="0.25">
      <c r="B39" s="125">
        <v>2020</v>
      </c>
      <c r="C39" s="125" t="s">
        <v>49</v>
      </c>
      <c r="D39" s="155">
        <v>24.595649139116098</v>
      </c>
      <c r="P39" s="123" t="s">
        <v>279</v>
      </c>
      <c r="Q39" s="122">
        <f t="shared" si="4"/>
        <v>0.67759214150690072</v>
      </c>
    </row>
    <row r="40" spans="1:17" x14ac:dyDescent="0.25">
      <c r="B40" s="125">
        <v>2020</v>
      </c>
      <c r="C40" s="125" t="s">
        <v>50</v>
      </c>
      <c r="D40" s="155">
        <v>112.79446754146498</v>
      </c>
      <c r="P40" s="123" t="s">
        <v>280</v>
      </c>
      <c r="Q40" s="122">
        <f>IF(ISERROR(C53),"",IF(ISBLANK(C53),"",C53))</f>
        <v>25.719432456677833</v>
      </c>
    </row>
    <row r="41" spans="1:17" x14ac:dyDescent="0.25">
      <c r="B41" s="125">
        <v>2020</v>
      </c>
      <c r="C41" s="125" t="s">
        <v>51</v>
      </c>
      <c r="D41" s="155">
        <v>128.12998755584738</v>
      </c>
      <c r="P41" s="123" t="s">
        <v>281</v>
      </c>
      <c r="Q41" s="122" t="str">
        <f>IF(ISBLANK(O4),"",INDEX($N$1:$N$5,O4))</f>
        <v>a</v>
      </c>
    </row>
    <row r="42" spans="1:17" x14ac:dyDescent="0.25">
      <c r="B42" s="125">
        <v>2020</v>
      </c>
      <c r="C42" s="125" t="s">
        <v>52</v>
      </c>
      <c r="D42" s="155">
        <v>221.16630340014837</v>
      </c>
      <c r="P42" s="123" t="s">
        <v>282</v>
      </c>
      <c r="Q42" s="122">
        <f>IF(ISERROR(C60),"",IF(ISBLANK(C60),"",C60))</f>
        <v>189.45711887338481</v>
      </c>
    </row>
    <row r="43" spans="1:17" x14ac:dyDescent="0.25">
      <c r="B43" s="125">
        <v>2020</v>
      </c>
      <c r="C43" s="125" t="s">
        <v>53</v>
      </c>
      <c r="D43" s="155">
        <v>290.87299144439908</v>
      </c>
      <c r="P43" s="123" t="s">
        <v>283</v>
      </c>
      <c r="Q43" s="122">
        <f>IF(ISERROR(C61),"",IF(ISBLANK(C61),"",C61))</f>
        <v>228.45351840345839</v>
      </c>
    </row>
    <row r="44" spans="1:17" x14ac:dyDescent="0.25">
      <c r="B44" s="125">
        <v>2020</v>
      </c>
      <c r="C44" s="125" t="s">
        <v>54</v>
      </c>
      <c r="D44" s="155">
        <v>268.90872334411694</v>
      </c>
      <c r="P44" s="123" t="s">
        <v>284</v>
      </c>
      <c r="Q44" s="122">
        <f>IF(ISERROR(C63),"",IF(ISBLANK(C63),"",C63))</f>
        <v>0.6</v>
      </c>
    </row>
    <row r="45" spans="1:17" x14ac:dyDescent="0.25">
      <c r="B45" s="125">
        <v>2020</v>
      </c>
      <c r="C45" s="125" t="s">
        <v>55</v>
      </c>
      <c r="D45" s="155">
        <v>275.96022844250973</v>
      </c>
      <c r="P45" s="123" t="s">
        <v>285</v>
      </c>
      <c r="Q45" s="122" t="str">
        <f>IF(ISERROR(C67),"",IF(ISBLANK(C67),"",C67))</f>
        <v/>
      </c>
    </row>
    <row r="46" spans="1:17" x14ac:dyDescent="0.25">
      <c r="P46" s="123" t="s">
        <v>286</v>
      </c>
      <c r="Q46" s="122" t="str">
        <f>IF(ISERROR(C68),"",IF(ISBLANK(C68),"",C68))</f>
        <v/>
      </c>
    </row>
    <row r="47" spans="1:17" x14ac:dyDescent="0.25">
      <c r="C47" s="131" t="s">
        <v>166</v>
      </c>
      <c r="D47" s="155">
        <v>-114.77103503863614</v>
      </c>
      <c r="P47" s="123" t="s">
        <v>287</v>
      </c>
      <c r="Q47" s="122" t="str">
        <f>IF(ISERROR(C71),"",IF(ISBLANK(C71),"",C71))</f>
        <v/>
      </c>
    </row>
    <row r="48" spans="1:17" x14ac:dyDescent="0.25">
      <c r="P48" s="123" t="s">
        <v>288</v>
      </c>
      <c r="Q48" s="122" t="str">
        <f>IF(ISERROR(C72),"",IF(ISBLANK(C72),"",C72))</f>
        <v/>
      </c>
    </row>
    <row r="49" spans="1:17" x14ac:dyDescent="0.25">
      <c r="B49" s="126" t="s">
        <v>167</v>
      </c>
      <c r="P49" s="123" t="s">
        <v>289</v>
      </c>
      <c r="Q49" s="122" t="str">
        <f>IF(ISBLANK(O5),"",INDEX($N$1:$N$5,O5))</f>
        <v>a</v>
      </c>
    </row>
    <row r="50" spans="1:17" x14ac:dyDescent="0.25">
      <c r="B50" s="125" t="s">
        <v>71</v>
      </c>
      <c r="C50" s="155">
        <v>2.9078021378339338E-2</v>
      </c>
      <c r="P50" s="123" t="s">
        <v>290</v>
      </c>
      <c r="Q50" s="122" t="str">
        <f t="shared" ref="Q50:Q56" si="5">IF(ISBLANK(O6),"",INDEX($N$1:$N$5,O6))</f>
        <v>d</v>
      </c>
    </row>
    <row r="51" spans="1:17" x14ac:dyDescent="0.25">
      <c r="B51" s="125" t="s">
        <v>72</v>
      </c>
      <c r="C51" s="155">
        <v>0.29333075931501862</v>
      </c>
      <c r="P51" s="123" t="s">
        <v>291</v>
      </c>
      <c r="Q51" s="122" t="str">
        <f t="shared" si="5"/>
        <v>d</v>
      </c>
    </row>
    <row r="52" spans="1:17" x14ac:dyDescent="0.25">
      <c r="B52" s="125" t="s">
        <v>73</v>
      </c>
      <c r="C52" s="155">
        <v>0.67759214150690072</v>
      </c>
      <c r="P52" s="123" t="s">
        <v>292</v>
      </c>
      <c r="Q52" s="122" t="str">
        <f t="shared" si="5"/>
        <v>d</v>
      </c>
    </row>
    <row r="53" spans="1:17" x14ac:dyDescent="0.25">
      <c r="B53" s="125" t="s">
        <v>168</v>
      </c>
      <c r="C53" s="155">
        <v>25.719432456677833</v>
      </c>
      <c r="P53" s="123" t="s">
        <v>293</v>
      </c>
      <c r="Q53" s="122" t="str">
        <f t="shared" si="5"/>
        <v>b</v>
      </c>
    </row>
    <row r="54" spans="1:17" x14ac:dyDescent="0.25">
      <c r="P54" s="123" t="s">
        <v>294</v>
      </c>
      <c r="Q54" s="122" t="str">
        <f t="shared" si="5"/>
        <v>d</v>
      </c>
    </row>
    <row r="55" spans="1:17" x14ac:dyDescent="0.25">
      <c r="A55" s="127" t="s">
        <v>169</v>
      </c>
      <c r="B55" s="128"/>
      <c r="C55" s="128"/>
      <c r="D55" s="128"/>
      <c r="E55" s="128"/>
      <c r="F55" s="128"/>
      <c r="G55" s="128"/>
      <c r="H55" s="128"/>
      <c r="I55" s="128"/>
      <c r="P55" s="123" t="s">
        <v>295</v>
      </c>
      <c r="Q55" s="122" t="str">
        <f t="shared" si="5"/>
        <v>b</v>
      </c>
    </row>
    <row r="56" spans="1:17" x14ac:dyDescent="0.25">
      <c r="P56" s="123" t="s">
        <v>296</v>
      </c>
      <c r="Q56" s="122" t="str">
        <f t="shared" si="5"/>
        <v>a</v>
      </c>
    </row>
    <row r="57" spans="1:17" x14ac:dyDescent="0.25">
      <c r="B57" s="126" t="s">
        <v>170</v>
      </c>
      <c r="C57" s="129" t="s">
        <v>159</v>
      </c>
      <c r="P57" s="123" t="s">
        <v>297</v>
      </c>
      <c r="Q57" s="122">
        <f>IF(ISERROR(C88),"",IF(ISBLANK(C88),"",C88))</f>
        <v>0</v>
      </c>
    </row>
    <row r="58" spans="1:17" x14ac:dyDescent="0.25">
      <c r="P58" s="123" t="s">
        <v>298</v>
      </c>
      <c r="Q58" s="122">
        <f t="shared" ref="Q58:Q60" si="6">IF(ISERROR(C89),"",IF(ISBLANK(C89),"",C89))</f>
        <v>85</v>
      </c>
    </row>
    <row r="59" spans="1:17" x14ac:dyDescent="0.25">
      <c r="B59" s="126" t="s">
        <v>171</v>
      </c>
      <c r="P59" s="123" t="s">
        <v>299</v>
      </c>
      <c r="Q59" s="122">
        <f t="shared" si="6"/>
        <v>0</v>
      </c>
    </row>
    <row r="60" spans="1:17" x14ac:dyDescent="0.25">
      <c r="B60" s="132" t="s">
        <v>85</v>
      </c>
      <c r="C60" s="155">
        <v>189.45711887338481</v>
      </c>
      <c r="P60" s="123" t="s">
        <v>300</v>
      </c>
      <c r="Q60" s="122">
        <f t="shared" si="6"/>
        <v>99.999999999999986</v>
      </c>
    </row>
    <row r="61" spans="1:17" x14ac:dyDescent="0.25">
      <c r="B61" s="132" t="s">
        <v>86</v>
      </c>
      <c r="C61" s="155">
        <v>228.45351840345839</v>
      </c>
      <c r="P61" s="123" t="s">
        <v>301</v>
      </c>
      <c r="Q61" s="122">
        <f>IF(ISERROR(C92),"",IF(ISBLANK(C92),"",C92))</f>
        <v>130.00000000000003</v>
      </c>
    </row>
    <row r="62" spans="1:17" x14ac:dyDescent="0.25">
      <c r="P62" s="123" t="s">
        <v>302</v>
      </c>
      <c r="Q62" s="122">
        <f>IF(ISERROR(D88),"",IF(ISBLANK(D88),"",D88))</f>
        <v>0</v>
      </c>
    </row>
    <row r="63" spans="1:17" x14ac:dyDescent="0.25">
      <c r="B63" s="126" t="s">
        <v>172</v>
      </c>
      <c r="C63" s="155">
        <f>12/20</f>
        <v>0.6</v>
      </c>
      <c r="P63" s="123" t="s">
        <v>303</v>
      </c>
      <c r="Q63" s="122">
        <f t="shared" ref="Q63:Q65" si="7">IF(ISERROR(D89),"",IF(ISBLANK(D89),"",D89))</f>
        <v>1</v>
      </c>
    </row>
    <row r="64" spans="1:17" x14ac:dyDescent="0.25">
      <c r="P64" s="123" t="s">
        <v>304</v>
      </c>
      <c r="Q64" s="122">
        <f t="shared" si="7"/>
        <v>0</v>
      </c>
    </row>
    <row r="65" spans="1:17" x14ac:dyDescent="0.25">
      <c r="P65" s="123" t="s">
        <v>305</v>
      </c>
      <c r="Q65" s="122">
        <f t="shared" si="7"/>
        <v>1</v>
      </c>
    </row>
    <row r="66" spans="1:17" x14ac:dyDescent="0.25">
      <c r="B66" s="126" t="s">
        <v>173</v>
      </c>
      <c r="C66" s="125" t="s">
        <v>87</v>
      </c>
      <c r="P66" s="123" t="s">
        <v>306</v>
      </c>
      <c r="Q66" s="122">
        <f>IF(ISERROR(D92),"",IF(ISBLANK(D92),"",D92))</f>
        <v>1</v>
      </c>
    </row>
    <row r="67" spans="1:17" x14ac:dyDescent="0.25">
      <c r="B67" s="125" t="s">
        <v>174</v>
      </c>
      <c r="C67" s="155"/>
      <c r="P67" s="123" t="s">
        <v>307</v>
      </c>
      <c r="Q67" s="122">
        <f>IF(ISERROR(C94),"",IF(ISBLANK(C94),"",C94))</f>
        <v>2280</v>
      </c>
    </row>
    <row r="68" spans="1:17" x14ac:dyDescent="0.25">
      <c r="B68" s="125" t="s">
        <v>175</v>
      </c>
      <c r="C68" s="155"/>
      <c r="P68" s="123" t="s">
        <v>308</v>
      </c>
      <c r="Q68" s="122">
        <f>IF(ISERROR(C95),"",IF(ISBLANK(C95),"",C95))</f>
        <v>4230</v>
      </c>
    </row>
    <row r="69" spans="1:17" x14ac:dyDescent="0.25">
      <c r="P69" s="123" t="s">
        <v>309</v>
      </c>
      <c r="Q69" s="122" t="str">
        <f>IF(ISERROR(D100),"",IF(ISBLANK(D100),"",D100))</f>
        <v/>
      </c>
    </row>
    <row r="70" spans="1:17" x14ac:dyDescent="0.25">
      <c r="B70" s="126" t="s">
        <v>176</v>
      </c>
      <c r="C70" s="125" t="s">
        <v>235</v>
      </c>
      <c r="D70" s="130"/>
      <c r="E70" s="130"/>
      <c r="P70" s="123" t="s">
        <v>310</v>
      </c>
      <c r="Q70" s="122" t="str">
        <f>IF(ISERROR(C104),"",IF(ISBLANK(C104),"",C104))</f>
        <v/>
      </c>
    </row>
    <row r="71" spans="1:17" x14ac:dyDescent="0.25">
      <c r="B71" s="125" t="s">
        <v>174</v>
      </c>
      <c r="C71" s="155"/>
      <c r="D71" s="130"/>
      <c r="E71" s="130"/>
      <c r="P71" s="123" t="s">
        <v>311</v>
      </c>
      <c r="Q71" s="122" t="str">
        <f>IF(ISERROR(C105),"",IF(ISBLANK(C105),"",C105))</f>
        <v/>
      </c>
    </row>
    <row r="72" spans="1:17" x14ac:dyDescent="0.25">
      <c r="B72" s="125" t="s">
        <v>175</v>
      </c>
      <c r="C72" s="155"/>
      <c r="D72" s="130"/>
      <c r="E72" s="130"/>
      <c r="P72" s="123" t="s">
        <v>312</v>
      </c>
      <c r="Q72" s="122" t="str">
        <f t="shared" ref="Q72:Q134" si="8">IF(ISERROR(C106),"",IF(ISBLANK(C106),"",C106))</f>
        <v/>
      </c>
    </row>
    <row r="73" spans="1:17" x14ac:dyDescent="0.25">
      <c r="P73" s="123" t="s">
        <v>313</v>
      </c>
      <c r="Q73" s="122" t="str">
        <f t="shared" si="8"/>
        <v/>
      </c>
    </row>
    <row r="74" spans="1:17" x14ac:dyDescent="0.25">
      <c r="A74" s="127" t="s">
        <v>177</v>
      </c>
      <c r="B74" s="128"/>
      <c r="C74" s="128"/>
      <c r="D74" s="128"/>
      <c r="E74" s="128"/>
      <c r="F74" s="128"/>
      <c r="G74" s="128"/>
      <c r="H74" s="128"/>
      <c r="I74" s="128"/>
      <c r="P74" s="123" t="s">
        <v>314</v>
      </c>
      <c r="Q74" s="122" t="str">
        <f t="shared" si="8"/>
        <v/>
      </c>
    </row>
    <row r="75" spans="1:17" x14ac:dyDescent="0.25">
      <c r="P75" s="123" t="s">
        <v>315</v>
      </c>
      <c r="Q75" s="122" t="str">
        <f>IF(ISERROR(C109),"",IF(ISBLANK(C109),"",C109))</f>
        <v/>
      </c>
    </row>
    <row r="76" spans="1:17" x14ac:dyDescent="0.25">
      <c r="B76" s="126" t="s">
        <v>178</v>
      </c>
      <c r="C76" s="129" t="s">
        <v>156</v>
      </c>
      <c r="P76" s="123" t="s">
        <v>316</v>
      </c>
      <c r="Q76" s="122" t="str">
        <f t="shared" si="8"/>
        <v/>
      </c>
    </row>
    <row r="77" spans="1:17" x14ac:dyDescent="0.25">
      <c r="B77" s="126" t="s">
        <v>179</v>
      </c>
      <c r="C77" s="129" t="s">
        <v>156</v>
      </c>
      <c r="P77" s="123" t="s">
        <v>317</v>
      </c>
      <c r="Q77" s="122" t="str">
        <f t="shared" si="8"/>
        <v/>
      </c>
    </row>
    <row r="78" spans="1:17" x14ac:dyDescent="0.25">
      <c r="B78" s="126" t="s">
        <v>180</v>
      </c>
      <c r="C78" s="129" t="s">
        <v>156</v>
      </c>
      <c r="P78" s="123" t="s">
        <v>318</v>
      </c>
      <c r="Q78" s="122" t="str">
        <f t="shared" si="8"/>
        <v/>
      </c>
    </row>
    <row r="79" spans="1:17" x14ac:dyDescent="0.25">
      <c r="B79" s="126" t="s">
        <v>181</v>
      </c>
      <c r="C79" s="129" t="s">
        <v>156</v>
      </c>
      <c r="P79" s="123" t="s">
        <v>319</v>
      </c>
      <c r="Q79" s="122" t="str">
        <f t="shared" si="8"/>
        <v/>
      </c>
    </row>
    <row r="80" spans="1:17" x14ac:dyDescent="0.25">
      <c r="B80" s="126" t="s">
        <v>182</v>
      </c>
      <c r="C80" s="129" t="s">
        <v>156</v>
      </c>
      <c r="P80" s="123" t="s">
        <v>320</v>
      </c>
      <c r="Q80" s="122" t="str">
        <f t="shared" si="8"/>
        <v/>
      </c>
    </row>
    <row r="81" spans="2:17" x14ac:dyDescent="0.25">
      <c r="B81" s="126" t="s">
        <v>183</v>
      </c>
      <c r="C81" s="129" t="s">
        <v>156</v>
      </c>
      <c r="P81" s="123" t="s">
        <v>321</v>
      </c>
      <c r="Q81" s="122" t="str">
        <f t="shared" si="8"/>
        <v/>
      </c>
    </row>
    <row r="82" spans="2:17" x14ac:dyDescent="0.25">
      <c r="B82" s="126" t="s">
        <v>184</v>
      </c>
      <c r="C82" s="129" t="s">
        <v>156</v>
      </c>
      <c r="P82" s="123" t="s">
        <v>322</v>
      </c>
      <c r="Q82" s="122" t="str">
        <f t="shared" si="8"/>
        <v/>
      </c>
    </row>
    <row r="83" spans="2:17" x14ac:dyDescent="0.25">
      <c r="B83" s="126" t="s">
        <v>185</v>
      </c>
      <c r="C83" s="129" t="s">
        <v>156</v>
      </c>
      <c r="P83" s="123" t="s">
        <v>323</v>
      </c>
      <c r="Q83" s="122" t="str">
        <f t="shared" si="8"/>
        <v/>
      </c>
    </row>
    <row r="84" spans="2:17" x14ac:dyDescent="0.25">
      <c r="P84" s="123" t="s">
        <v>324</v>
      </c>
      <c r="Q84" s="122" t="str">
        <f t="shared" si="8"/>
        <v/>
      </c>
    </row>
    <row r="85" spans="2:17" x14ac:dyDescent="0.25">
      <c r="P85" s="123" t="s">
        <v>325</v>
      </c>
      <c r="Q85" s="122" t="str">
        <f t="shared" si="8"/>
        <v/>
      </c>
    </row>
    <row r="86" spans="2:17" x14ac:dyDescent="0.25">
      <c r="B86" s="126" t="s">
        <v>186</v>
      </c>
      <c r="C86" s="133"/>
      <c r="D86" s="133"/>
      <c r="P86" s="123" t="s">
        <v>326</v>
      </c>
      <c r="Q86" s="122" t="str">
        <f t="shared" si="8"/>
        <v/>
      </c>
    </row>
    <row r="87" spans="2:17" x14ac:dyDescent="0.25">
      <c r="B87" s="133" t="s">
        <v>90</v>
      </c>
      <c r="C87" s="133" t="s">
        <v>102</v>
      </c>
      <c r="D87" s="133" t="s">
        <v>103</v>
      </c>
      <c r="P87" s="123" t="s">
        <v>327</v>
      </c>
      <c r="Q87" s="122" t="str">
        <f t="shared" si="8"/>
        <v/>
      </c>
    </row>
    <row r="88" spans="2:17" x14ac:dyDescent="0.25">
      <c r="B88" s="134" t="s">
        <v>95</v>
      </c>
      <c r="C88" s="156">
        <v>0</v>
      </c>
      <c r="D88" s="156">
        <v>0</v>
      </c>
      <c r="P88" s="123" t="s">
        <v>328</v>
      </c>
      <c r="Q88" s="122" t="str">
        <f t="shared" si="8"/>
        <v/>
      </c>
    </row>
    <row r="89" spans="2:17" x14ac:dyDescent="0.25">
      <c r="B89" s="134" t="s">
        <v>96</v>
      </c>
      <c r="C89" s="156">
        <v>85</v>
      </c>
      <c r="D89" s="156">
        <v>1</v>
      </c>
      <c r="P89" s="123" t="s">
        <v>329</v>
      </c>
      <c r="Q89" s="122" t="str">
        <f t="shared" si="8"/>
        <v/>
      </c>
    </row>
    <row r="90" spans="2:17" x14ac:dyDescent="0.25">
      <c r="B90" s="134" t="s">
        <v>97</v>
      </c>
      <c r="C90" s="156">
        <v>0</v>
      </c>
      <c r="D90" s="156">
        <v>0</v>
      </c>
      <c r="P90" s="123" t="s">
        <v>330</v>
      </c>
      <c r="Q90" s="122" t="str">
        <f t="shared" si="8"/>
        <v/>
      </c>
    </row>
    <row r="91" spans="2:17" x14ac:dyDescent="0.25">
      <c r="B91" s="134" t="s">
        <v>98</v>
      </c>
      <c r="C91" s="156">
        <v>99.999999999999986</v>
      </c>
      <c r="D91" s="156">
        <v>1</v>
      </c>
      <c r="P91" s="123" t="s">
        <v>331</v>
      </c>
      <c r="Q91" s="122" t="str">
        <f t="shared" si="8"/>
        <v/>
      </c>
    </row>
    <row r="92" spans="2:17" x14ac:dyDescent="0.25">
      <c r="B92" s="134" t="s">
        <v>99</v>
      </c>
      <c r="C92" s="156">
        <v>130.00000000000003</v>
      </c>
      <c r="D92" s="156">
        <v>1</v>
      </c>
      <c r="P92" s="123" t="s">
        <v>332</v>
      </c>
      <c r="Q92" s="122" t="str">
        <f t="shared" si="8"/>
        <v/>
      </c>
    </row>
    <row r="93" spans="2:17" x14ac:dyDescent="0.25">
      <c r="B93" s="131"/>
      <c r="C93" s="133"/>
      <c r="D93" s="133"/>
      <c r="P93" s="123" t="s">
        <v>333</v>
      </c>
      <c r="Q93" s="122" t="str">
        <f t="shared" si="8"/>
        <v/>
      </c>
    </row>
    <row r="94" spans="2:17" x14ac:dyDescent="0.25">
      <c r="B94" s="135" t="s">
        <v>237</v>
      </c>
      <c r="C94" s="156">
        <v>2280</v>
      </c>
      <c r="D94" s="133"/>
      <c r="P94" s="123" t="s">
        <v>334</v>
      </c>
      <c r="Q94" s="122" t="str">
        <f t="shared" si="8"/>
        <v/>
      </c>
    </row>
    <row r="95" spans="2:17" x14ac:dyDescent="0.25">
      <c r="B95" s="135" t="s">
        <v>238</v>
      </c>
      <c r="C95" s="156">
        <v>4230</v>
      </c>
      <c r="D95" s="133"/>
      <c r="P95" s="123" t="s">
        <v>335</v>
      </c>
      <c r="Q95" s="122" t="str">
        <f t="shared" si="8"/>
        <v/>
      </c>
    </row>
    <row r="96" spans="2:17" x14ac:dyDescent="0.25">
      <c r="P96" s="123" t="s">
        <v>336</v>
      </c>
      <c r="Q96" s="122" t="str">
        <f t="shared" si="8"/>
        <v/>
      </c>
    </row>
    <row r="97" spans="1:17" x14ac:dyDescent="0.25">
      <c r="A97" s="127" t="s">
        <v>187</v>
      </c>
      <c r="B97" s="128"/>
      <c r="C97" s="128"/>
      <c r="D97" s="128"/>
      <c r="E97" s="128"/>
      <c r="F97" s="128"/>
      <c r="G97" s="128"/>
      <c r="H97" s="128"/>
      <c r="I97" s="128"/>
      <c r="P97" s="123" t="s">
        <v>337</v>
      </c>
      <c r="Q97" s="122" t="str">
        <f t="shared" si="8"/>
        <v/>
      </c>
    </row>
    <row r="98" spans="1:17" x14ac:dyDescent="0.25">
      <c r="P98" s="123" t="s">
        <v>338</v>
      </c>
      <c r="Q98" s="122" t="str">
        <f t="shared" si="8"/>
        <v/>
      </c>
    </row>
    <row r="99" spans="1:17" x14ac:dyDescent="0.25">
      <c r="B99" s="126" t="s">
        <v>188</v>
      </c>
      <c r="P99" s="123" t="s">
        <v>339</v>
      </c>
      <c r="Q99" s="122" t="str">
        <f t="shared" si="8"/>
        <v/>
      </c>
    </row>
    <row r="100" spans="1:17" x14ac:dyDescent="0.25">
      <c r="C100" s="135" t="s">
        <v>239</v>
      </c>
      <c r="D100" s="155"/>
      <c r="P100" s="123" t="s">
        <v>340</v>
      </c>
      <c r="Q100" s="122" t="str">
        <f t="shared" si="8"/>
        <v/>
      </c>
    </row>
    <row r="101" spans="1:17" x14ac:dyDescent="0.25">
      <c r="C101" s="135" t="s">
        <v>240</v>
      </c>
      <c r="P101" s="123" t="s">
        <v>341</v>
      </c>
      <c r="Q101" s="122" t="str">
        <f t="shared" si="8"/>
        <v/>
      </c>
    </row>
    <row r="102" spans="1:17" x14ac:dyDescent="0.25">
      <c r="C102" s="132"/>
      <c r="P102" s="123" t="s">
        <v>342</v>
      </c>
      <c r="Q102" s="122" t="str">
        <f t="shared" si="8"/>
        <v/>
      </c>
    </row>
    <row r="103" spans="1:17" x14ac:dyDescent="0.25">
      <c r="C103" s="136" t="s">
        <v>104</v>
      </c>
      <c r="D103" s="136" t="s">
        <v>105</v>
      </c>
      <c r="E103" s="136" t="s">
        <v>106</v>
      </c>
      <c r="F103" s="136" t="s">
        <v>107</v>
      </c>
      <c r="G103" s="136" t="s">
        <v>108</v>
      </c>
      <c r="P103" s="123" t="s">
        <v>343</v>
      </c>
      <c r="Q103" s="122" t="str">
        <f t="shared" si="8"/>
        <v/>
      </c>
    </row>
    <row r="104" spans="1:17" x14ac:dyDescent="0.25">
      <c r="C104" s="155"/>
      <c r="D104" s="125">
        <v>1</v>
      </c>
      <c r="E104" s="125">
        <v>3</v>
      </c>
      <c r="F104" s="125">
        <v>2000</v>
      </c>
      <c r="G104" s="155"/>
      <c r="P104" s="123" t="s">
        <v>344</v>
      </c>
      <c r="Q104" s="122" t="str">
        <f t="shared" si="8"/>
        <v/>
      </c>
    </row>
    <row r="105" spans="1:17" x14ac:dyDescent="0.25">
      <c r="C105" s="155"/>
      <c r="D105" s="125">
        <v>1</v>
      </c>
      <c r="E105" s="125">
        <v>6</v>
      </c>
      <c r="F105" s="125">
        <v>5000</v>
      </c>
      <c r="G105" s="155"/>
      <c r="P105" s="123" t="s">
        <v>345</v>
      </c>
      <c r="Q105" s="122" t="str">
        <f t="shared" si="8"/>
        <v/>
      </c>
    </row>
    <row r="106" spans="1:17" x14ac:dyDescent="0.25">
      <c r="C106" s="155"/>
      <c r="D106" s="125">
        <v>1</v>
      </c>
      <c r="E106" s="125">
        <v>7</v>
      </c>
      <c r="F106" s="125">
        <v>10000</v>
      </c>
      <c r="G106" s="155"/>
      <c r="P106" s="123" t="s">
        <v>346</v>
      </c>
      <c r="Q106" s="122" t="str">
        <f t="shared" si="8"/>
        <v/>
      </c>
    </row>
    <row r="107" spans="1:17" x14ac:dyDescent="0.25">
      <c r="C107" s="155"/>
      <c r="D107" s="125">
        <v>1</v>
      </c>
      <c r="E107" s="125">
        <v>8</v>
      </c>
      <c r="F107" s="125">
        <v>15000</v>
      </c>
      <c r="G107" s="155"/>
      <c r="P107" s="123" t="s">
        <v>347</v>
      </c>
      <c r="Q107" s="122" t="str">
        <f t="shared" si="8"/>
        <v/>
      </c>
    </row>
    <row r="108" spans="1:17" x14ac:dyDescent="0.25">
      <c r="C108" s="155"/>
      <c r="D108" s="125">
        <v>2</v>
      </c>
      <c r="E108" s="125">
        <v>3</v>
      </c>
      <c r="F108" s="125">
        <v>2000</v>
      </c>
      <c r="G108" s="155"/>
      <c r="P108" s="123" t="s">
        <v>348</v>
      </c>
      <c r="Q108" s="122" t="str">
        <f t="shared" si="8"/>
        <v/>
      </c>
    </row>
    <row r="109" spans="1:17" x14ac:dyDescent="0.25">
      <c r="C109" s="155"/>
      <c r="D109" s="125">
        <v>2</v>
      </c>
      <c r="E109" s="125">
        <v>4</v>
      </c>
      <c r="F109" s="125">
        <v>15000</v>
      </c>
      <c r="G109" s="155"/>
      <c r="P109" s="123" t="s">
        <v>349</v>
      </c>
      <c r="Q109" s="122" t="str">
        <f t="shared" si="8"/>
        <v/>
      </c>
    </row>
    <row r="110" spans="1:17" x14ac:dyDescent="0.25">
      <c r="C110" s="155"/>
      <c r="D110" s="125">
        <v>2</v>
      </c>
      <c r="E110" s="125">
        <v>5</v>
      </c>
      <c r="F110" s="125">
        <v>10000</v>
      </c>
      <c r="G110" s="155"/>
      <c r="P110" s="123" t="s">
        <v>350</v>
      </c>
      <c r="Q110" s="122" t="str">
        <f t="shared" si="8"/>
        <v/>
      </c>
    </row>
    <row r="111" spans="1:17" x14ac:dyDescent="0.25">
      <c r="C111" s="155"/>
      <c r="D111" s="125">
        <v>2</v>
      </c>
      <c r="E111" s="125">
        <v>6</v>
      </c>
      <c r="F111" s="125">
        <v>5000</v>
      </c>
      <c r="G111" s="155"/>
      <c r="P111" s="123" t="s">
        <v>351</v>
      </c>
      <c r="Q111" s="122" t="str">
        <f t="shared" si="8"/>
        <v/>
      </c>
    </row>
    <row r="112" spans="1:17" x14ac:dyDescent="0.25">
      <c r="C112" s="155"/>
      <c r="D112" s="125">
        <v>3</v>
      </c>
      <c r="E112" s="125">
        <v>4</v>
      </c>
      <c r="F112" s="125">
        <v>2500</v>
      </c>
      <c r="G112" s="155"/>
      <c r="P112" s="123" t="s">
        <v>352</v>
      </c>
      <c r="Q112" s="122" t="str">
        <f t="shared" si="8"/>
        <v/>
      </c>
    </row>
    <row r="113" spans="3:17" x14ac:dyDescent="0.25">
      <c r="C113" s="155"/>
      <c r="D113" s="125">
        <v>3</v>
      </c>
      <c r="E113" s="125">
        <v>8</v>
      </c>
      <c r="F113" s="125">
        <v>2500</v>
      </c>
      <c r="G113" s="155"/>
      <c r="P113" s="123" t="s">
        <v>353</v>
      </c>
      <c r="Q113" s="122" t="str">
        <f t="shared" si="8"/>
        <v/>
      </c>
    </row>
    <row r="114" spans="3:17" x14ac:dyDescent="0.25">
      <c r="C114" s="155"/>
      <c r="D114" s="125">
        <v>3</v>
      </c>
      <c r="E114" s="125">
        <v>15</v>
      </c>
      <c r="F114" s="125">
        <v>3000</v>
      </c>
      <c r="G114" s="155"/>
      <c r="P114" s="123" t="s">
        <v>354</v>
      </c>
      <c r="Q114" s="122" t="str">
        <f t="shared" si="8"/>
        <v/>
      </c>
    </row>
    <row r="115" spans="3:17" x14ac:dyDescent="0.25">
      <c r="C115" s="155"/>
      <c r="D115" s="125">
        <v>3</v>
      </c>
      <c r="E115" s="125">
        <v>16</v>
      </c>
      <c r="F115" s="125">
        <v>3000</v>
      </c>
      <c r="G115" s="155"/>
      <c r="P115" s="123" t="s">
        <v>355</v>
      </c>
      <c r="Q115" s="122" t="str">
        <f t="shared" si="8"/>
        <v/>
      </c>
    </row>
    <row r="116" spans="3:17" x14ac:dyDescent="0.25">
      <c r="C116" s="155"/>
      <c r="D116" s="125">
        <v>4</v>
      </c>
      <c r="E116" s="125">
        <v>3</v>
      </c>
      <c r="F116" s="125">
        <v>2500</v>
      </c>
      <c r="G116" s="155"/>
      <c r="P116" s="123" t="s">
        <v>356</v>
      </c>
      <c r="Q116" s="122" t="str">
        <f t="shared" si="8"/>
        <v/>
      </c>
    </row>
    <row r="117" spans="3:17" x14ac:dyDescent="0.25">
      <c r="C117" s="155"/>
      <c r="D117" s="125">
        <v>4</v>
      </c>
      <c r="E117" s="125">
        <v>5</v>
      </c>
      <c r="F117" s="125">
        <v>7500</v>
      </c>
      <c r="G117" s="155"/>
      <c r="P117" s="123" t="s">
        <v>357</v>
      </c>
      <c r="Q117" s="122" t="str">
        <f t="shared" si="8"/>
        <v/>
      </c>
    </row>
    <row r="118" spans="3:17" x14ac:dyDescent="0.25">
      <c r="C118" s="155"/>
      <c r="D118" s="125">
        <v>4</v>
      </c>
      <c r="E118" s="125">
        <v>8</v>
      </c>
      <c r="F118" s="125">
        <v>10000</v>
      </c>
      <c r="G118" s="155"/>
      <c r="P118" s="123" t="s">
        <v>358</v>
      </c>
      <c r="Q118" s="122" t="str">
        <f t="shared" si="8"/>
        <v/>
      </c>
    </row>
    <row r="119" spans="3:17" x14ac:dyDescent="0.25">
      <c r="C119" s="155"/>
      <c r="D119" s="125">
        <v>4</v>
      </c>
      <c r="E119" s="125">
        <v>12</v>
      </c>
      <c r="F119" s="125">
        <v>4000</v>
      </c>
      <c r="G119" s="155"/>
      <c r="P119" s="123" t="s">
        <v>359</v>
      </c>
      <c r="Q119" s="122" t="str">
        <f t="shared" si="8"/>
        <v/>
      </c>
    </row>
    <row r="120" spans="3:17" x14ac:dyDescent="0.25">
      <c r="C120" s="155"/>
      <c r="D120" s="125">
        <v>4</v>
      </c>
      <c r="E120" s="125">
        <v>15</v>
      </c>
      <c r="F120" s="125">
        <v>3000</v>
      </c>
      <c r="G120" s="155"/>
      <c r="P120" s="123" t="s">
        <v>360</v>
      </c>
      <c r="Q120" s="122" t="str">
        <f t="shared" si="8"/>
        <v/>
      </c>
    </row>
    <row r="121" spans="3:17" x14ac:dyDescent="0.25">
      <c r="C121" s="155"/>
      <c r="D121" s="125">
        <v>5</v>
      </c>
      <c r="E121" s="125">
        <v>4</v>
      </c>
      <c r="F121" s="125">
        <v>7500</v>
      </c>
      <c r="G121" s="155"/>
      <c r="P121" s="123" t="s">
        <v>361</v>
      </c>
      <c r="Q121" s="122" t="str">
        <f t="shared" si="8"/>
        <v/>
      </c>
    </row>
    <row r="122" spans="3:17" x14ac:dyDescent="0.25">
      <c r="C122" s="155"/>
      <c r="D122" s="125">
        <v>5</v>
      </c>
      <c r="E122" s="125">
        <v>6</v>
      </c>
      <c r="F122" s="125">
        <v>2500</v>
      </c>
      <c r="G122" s="155"/>
      <c r="P122" s="123" t="s">
        <v>362</v>
      </c>
      <c r="Q122" s="122" t="str">
        <f t="shared" si="8"/>
        <v/>
      </c>
    </row>
    <row r="123" spans="3:17" x14ac:dyDescent="0.25">
      <c r="C123" s="155"/>
      <c r="D123" s="125">
        <v>5</v>
      </c>
      <c r="E123" s="125">
        <v>7</v>
      </c>
      <c r="F123" s="125">
        <v>10000</v>
      </c>
      <c r="G123" s="155"/>
      <c r="P123" s="123" t="s">
        <v>363</v>
      </c>
      <c r="Q123" s="122" t="str">
        <f t="shared" si="8"/>
        <v/>
      </c>
    </row>
    <row r="124" spans="3:17" x14ac:dyDescent="0.25">
      <c r="C124" s="155"/>
      <c r="D124" s="125">
        <v>5</v>
      </c>
      <c r="E124" s="125">
        <v>10</v>
      </c>
      <c r="F124" s="125">
        <v>4000</v>
      </c>
      <c r="G124" s="155"/>
      <c r="P124" s="123" t="s">
        <v>364</v>
      </c>
      <c r="Q124" s="122" t="str">
        <f t="shared" si="8"/>
        <v/>
      </c>
    </row>
    <row r="125" spans="3:17" x14ac:dyDescent="0.25">
      <c r="C125" s="155"/>
      <c r="D125" s="125">
        <v>5</v>
      </c>
      <c r="E125" s="125">
        <v>13</v>
      </c>
      <c r="F125" s="125">
        <v>3000</v>
      </c>
      <c r="G125" s="155"/>
      <c r="P125" s="123" t="s">
        <v>365</v>
      </c>
      <c r="Q125" s="122" t="str">
        <f t="shared" si="8"/>
        <v/>
      </c>
    </row>
    <row r="126" spans="3:17" x14ac:dyDescent="0.25">
      <c r="C126" s="155"/>
      <c r="D126" s="125">
        <v>6</v>
      </c>
      <c r="E126" s="125">
        <v>5</v>
      </c>
      <c r="F126" s="125">
        <v>2500</v>
      </c>
      <c r="G126" s="155"/>
      <c r="P126" s="123" t="s">
        <v>366</v>
      </c>
      <c r="Q126" s="122" t="str">
        <f t="shared" si="8"/>
        <v/>
      </c>
    </row>
    <row r="127" spans="3:17" x14ac:dyDescent="0.25">
      <c r="C127" s="155"/>
      <c r="D127" s="125">
        <v>6</v>
      </c>
      <c r="E127" s="125">
        <v>7</v>
      </c>
      <c r="F127" s="125">
        <v>2500</v>
      </c>
      <c r="G127" s="155"/>
      <c r="P127" s="123" t="s">
        <v>367</v>
      </c>
      <c r="Q127" s="122" t="str">
        <f t="shared" si="8"/>
        <v/>
      </c>
    </row>
    <row r="128" spans="3:17" x14ac:dyDescent="0.25">
      <c r="C128" s="155"/>
      <c r="D128" s="125">
        <v>6</v>
      </c>
      <c r="E128" s="125">
        <v>13</v>
      </c>
      <c r="F128" s="125">
        <v>3000</v>
      </c>
      <c r="G128" s="155"/>
      <c r="P128" s="123" t="s">
        <v>368</v>
      </c>
      <c r="Q128" s="122" t="str">
        <f t="shared" si="8"/>
        <v/>
      </c>
    </row>
    <row r="129" spans="3:17" x14ac:dyDescent="0.25">
      <c r="C129" s="155"/>
      <c r="D129" s="125">
        <v>6</v>
      </c>
      <c r="E129" s="125">
        <v>14</v>
      </c>
      <c r="F129" s="125">
        <v>3000</v>
      </c>
      <c r="G129" s="155"/>
      <c r="P129" s="123" t="s">
        <v>369</v>
      </c>
      <c r="Q129" s="122" t="str">
        <f t="shared" si="8"/>
        <v/>
      </c>
    </row>
    <row r="130" spans="3:17" x14ac:dyDescent="0.25">
      <c r="C130" s="155"/>
      <c r="D130" s="125">
        <v>7</v>
      </c>
      <c r="E130" s="125">
        <v>5</v>
      </c>
      <c r="F130" s="125">
        <v>10000</v>
      </c>
      <c r="G130" s="155"/>
      <c r="P130" s="123" t="s">
        <v>370</v>
      </c>
      <c r="Q130" s="122" t="str">
        <f t="shared" si="8"/>
        <v/>
      </c>
    </row>
    <row r="131" spans="3:17" x14ac:dyDescent="0.25">
      <c r="C131" s="155"/>
      <c r="D131" s="125">
        <v>7</v>
      </c>
      <c r="E131" s="125">
        <v>6</v>
      </c>
      <c r="F131" s="125">
        <v>2500</v>
      </c>
      <c r="G131" s="155"/>
      <c r="P131" s="123" t="s">
        <v>371</v>
      </c>
      <c r="Q131" s="122" t="str">
        <f t="shared" si="8"/>
        <v/>
      </c>
    </row>
    <row r="132" spans="3:17" x14ac:dyDescent="0.25">
      <c r="C132" s="155"/>
      <c r="D132" s="125">
        <v>7</v>
      </c>
      <c r="E132" s="125">
        <v>8</v>
      </c>
      <c r="F132" s="125">
        <v>7500</v>
      </c>
      <c r="G132" s="155"/>
      <c r="P132" s="123" t="s">
        <v>372</v>
      </c>
      <c r="Q132" s="122" t="str">
        <f t="shared" si="8"/>
        <v/>
      </c>
    </row>
    <row r="133" spans="3:17" x14ac:dyDescent="0.25">
      <c r="C133" s="155"/>
      <c r="D133" s="125">
        <v>7</v>
      </c>
      <c r="E133" s="125">
        <v>9</v>
      </c>
      <c r="F133" s="125">
        <v>3000</v>
      </c>
      <c r="G133" s="155"/>
      <c r="P133" s="123" t="s">
        <v>373</v>
      </c>
      <c r="Q133" s="122" t="str">
        <f t="shared" si="8"/>
        <v/>
      </c>
    </row>
    <row r="134" spans="3:17" x14ac:dyDescent="0.25">
      <c r="C134" s="155"/>
      <c r="D134" s="125">
        <v>7</v>
      </c>
      <c r="E134" s="125">
        <v>10</v>
      </c>
      <c r="F134" s="125">
        <v>4000</v>
      </c>
      <c r="G134" s="155"/>
      <c r="P134" s="123" t="s">
        <v>374</v>
      </c>
      <c r="Q134" s="122" t="str">
        <f t="shared" si="8"/>
        <v/>
      </c>
    </row>
    <row r="135" spans="3:17" x14ac:dyDescent="0.25">
      <c r="C135" s="155"/>
      <c r="D135" s="125">
        <v>7</v>
      </c>
      <c r="E135" s="125">
        <v>11</v>
      </c>
      <c r="F135" s="125">
        <v>4000</v>
      </c>
      <c r="G135" s="155"/>
      <c r="P135" s="123" t="s">
        <v>375</v>
      </c>
      <c r="Q135" s="122" t="str">
        <f>IF(ISERROR(C169),"",IF(ISBLANK(C169),"",C169))</f>
        <v/>
      </c>
    </row>
    <row r="136" spans="3:17" x14ac:dyDescent="0.25">
      <c r="C136" s="155"/>
      <c r="D136" s="125">
        <v>7</v>
      </c>
      <c r="E136" s="125">
        <v>14</v>
      </c>
      <c r="F136" s="125">
        <v>3000</v>
      </c>
      <c r="G136" s="155"/>
      <c r="P136" s="123" t="s">
        <v>376</v>
      </c>
      <c r="Q136" s="122" t="str">
        <f>IF(ISERROR(G104),"",IF(ISBLANK(G104),"",G104))</f>
        <v/>
      </c>
    </row>
    <row r="137" spans="3:17" x14ac:dyDescent="0.25">
      <c r="C137" s="155"/>
      <c r="D137" s="125">
        <v>8</v>
      </c>
      <c r="E137" s="125">
        <v>3</v>
      </c>
      <c r="F137" s="125">
        <v>2500</v>
      </c>
      <c r="G137" s="155"/>
      <c r="P137" s="123" t="s">
        <v>377</v>
      </c>
      <c r="Q137" s="122" t="str">
        <f t="shared" ref="Q137:Q200" si="9">IF(ISERROR(G105),"",IF(ISBLANK(G105),"",G105))</f>
        <v/>
      </c>
    </row>
    <row r="138" spans="3:17" x14ac:dyDescent="0.25">
      <c r="C138" s="155"/>
      <c r="D138" s="125">
        <v>8</v>
      </c>
      <c r="E138" s="125">
        <v>4</v>
      </c>
      <c r="F138" s="125">
        <v>10000</v>
      </c>
      <c r="G138" s="155"/>
      <c r="P138" s="123" t="s">
        <v>378</v>
      </c>
      <c r="Q138" s="122" t="str">
        <f t="shared" si="9"/>
        <v/>
      </c>
    </row>
    <row r="139" spans="3:17" x14ac:dyDescent="0.25">
      <c r="C139" s="155"/>
      <c r="D139" s="125">
        <v>8</v>
      </c>
      <c r="E139" s="125">
        <v>7</v>
      </c>
      <c r="F139" s="125">
        <v>7500</v>
      </c>
      <c r="G139" s="155"/>
      <c r="P139" s="123" t="s">
        <v>379</v>
      </c>
      <c r="Q139" s="122" t="str">
        <f t="shared" si="9"/>
        <v/>
      </c>
    </row>
    <row r="140" spans="3:17" x14ac:dyDescent="0.25">
      <c r="C140" s="155"/>
      <c r="D140" s="125">
        <v>8</v>
      </c>
      <c r="E140" s="125">
        <v>9</v>
      </c>
      <c r="F140" s="125">
        <v>3000</v>
      </c>
      <c r="G140" s="155"/>
      <c r="P140" s="123" t="s">
        <v>380</v>
      </c>
      <c r="Q140" s="122" t="str">
        <f t="shared" si="9"/>
        <v/>
      </c>
    </row>
    <row r="141" spans="3:17" x14ac:dyDescent="0.25">
      <c r="C141" s="155"/>
      <c r="D141" s="125">
        <v>8</v>
      </c>
      <c r="E141" s="125">
        <v>11</v>
      </c>
      <c r="F141" s="125">
        <v>4000</v>
      </c>
      <c r="G141" s="155"/>
      <c r="P141" s="123" t="s">
        <v>381</v>
      </c>
      <c r="Q141" s="122" t="str">
        <f t="shared" si="9"/>
        <v/>
      </c>
    </row>
    <row r="142" spans="3:17" x14ac:dyDescent="0.25">
      <c r="C142" s="155"/>
      <c r="D142" s="125">
        <v>8</v>
      </c>
      <c r="E142" s="125">
        <v>12</v>
      </c>
      <c r="F142" s="125">
        <v>4000</v>
      </c>
      <c r="G142" s="155"/>
      <c r="P142" s="123" t="s">
        <v>382</v>
      </c>
      <c r="Q142" s="122" t="str">
        <f t="shared" si="9"/>
        <v/>
      </c>
    </row>
    <row r="143" spans="3:17" x14ac:dyDescent="0.25">
      <c r="C143" s="155"/>
      <c r="D143" s="125">
        <v>8</v>
      </c>
      <c r="E143" s="125">
        <v>16</v>
      </c>
      <c r="F143" s="125">
        <v>3000</v>
      </c>
      <c r="G143" s="155"/>
      <c r="P143" s="123" t="s">
        <v>383</v>
      </c>
      <c r="Q143" s="122" t="str">
        <f t="shared" si="9"/>
        <v/>
      </c>
    </row>
    <row r="144" spans="3:17" x14ac:dyDescent="0.25">
      <c r="C144" s="155"/>
      <c r="D144" s="125">
        <v>9</v>
      </c>
      <c r="E144" s="125">
        <v>7</v>
      </c>
      <c r="F144" s="125">
        <v>3000</v>
      </c>
      <c r="G144" s="155"/>
      <c r="P144" s="123" t="s">
        <v>384</v>
      </c>
      <c r="Q144" s="122" t="str">
        <f t="shared" si="9"/>
        <v/>
      </c>
    </row>
    <row r="145" spans="3:17" x14ac:dyDescent="0.25">
      <c r="C145" s="155"/>
      <c r="D145" s="125">
        <v>9</v>
      </c>
      <c r="E145" s="125">
        <v>8</v>
      </c>
      <c r="F145" s="125">
        <v>3000</v>
      </c>
      <c r="G145" s="155"/>
      <c r="P145" s="123" t="s">
        <v>385</v>
      </c>
      <c r="Q145" s="122" t="str">
        <f t="shared" si="9"/>
        <v/>
      </c>
    </row>
    <row r="146" spans="3:17" x14ac:dyDescent="0.25">
      <c r="C146" s="155"/>
      <c r="D146" s="125">
        <v>9</v>
      </c>
      <c r="E146" s="125">
        <v>10</v>
      </c>
      <c r="F146" s="125">
        <v>1000</v>
      </c>
      <c r="G146" s="155"/>
      <c r="P146" s="123" t="s">
        <v>386</v>
      </c>
      <c r="Q146" s="122" t="str">
        <f t="shared" si="9"/>
        <v/>
      </c>
    </row>
    <row r="147" spans="3:17" x14ac:dyDescent="0.25">
      <c r="C147" s="155"/>
      <c r="D147" s="125">
        <v>9</v>
      </c>
      <c r="E147" s="125">
        <v>11</v>
      </c>
      <c r="F147" s="125">
        <v>1000</v>
      </c>
      <c r="G147" s="155"/>
      <c r="P147" s="123" t="s">
        <v>387</v>
      </c>
      <c r="Q147" s="122" t="str">
        <f t="shared" si="9"/>
        <v/>
      </c>
    </row>
    <row r="148" spans="3:17" x14ac:dyDescent="0.25">
      <c r="C148" s="155"/>
      <c r="D148" s="125">
        <v>9</v>
      </c>
      <c r="E148" s="125">
        <v>12</v>
      </c>
      <c r="F148" s="125">
        <v>1000</v>
      </c>
      <c r="G148" s="155"/>
      <c r="P148" s="123" t="s">
        <v>388</v>
      </c>
      <c r="Q148" s="122" t="str">
        <f t="shared" si="9"/>
        <v/>
      </c>
    </row>
    <row r="149" spans="3:17" x14ac:dyDescent="0.25">
      <c r="C149" s="155"/>
      <c r="D149" s="125">
        <v>10</v>
      </c>
      <c r="E149" s="125">
        <v>5</v>
      </c>
      <c r="F149" s="125">
        <v>4000</v>
      </c>
      <c r="G149" s="155"/>
      <c r="P149" s="123" t="s">
        <v>389</v>
      </c>
      <c r="Q149" s="122" t="str">
        <f t="shared" si="9"/>
        <v/>
      </c>
    </row>
    <row r="150" spans="3:17" x14ac:dyDescent="0.25">
      <c r="C150" s="155"/>
      <c r="D150" s="125">
        <v>10</v>
      </c>
      <c r="E150" s="125">
        <v>7</v>
      </c>
      <c r="F150" s="125">
        <v>4000</v>
      </c>
      <c r="G150" s="155"/>
      <c r="P150" s="123" t="s">
        <v>390</v>
      </c>
      <c r="Q150" s="122" t="str">
        <f t="shared" si="9"/>
        <v/>
      </c>
    </row>
    <row r="151" spans="3:17" x14ac:dyDescent="0.25">
      <c r="C151" s="155"/>
      <c r="D151" s="125">
        <v>10</v>
      </c>
      <c r="E151" s="125">
        <v>9</v>
      </c>
      <c r="F151" s="125">
        <v>1000</v>
      </c>
      <c r="G151" s="155"/>
      <c r="P151" s="123" t="s">
        <v>391</v>
      </c>
      <c r="Q151" s="122" t="str">
        <f t="shared" si="9"/>
        <v/>
      </c>
    </row>
    <row r="152" spans="3:17" x14ac:dyDescent="0.25">
      <c r="C152" s="155"/>
      <c r="D152" s="125">
        <v>11</v>
      </c>
      <c r="E152" s="125">
        <v>7</v>
      </c>
      <c r="F152" s="125">
        <v>4000</v>
      </c>
      <c r="G152" s="155"/>
      <c r="P152" s="123" t="s">
        <v>392</v>
      </c>
      <c r="Q152" s="122" t="str">
        <f t="shared" si="9"/>
        <v/>
      </c>
    </row>
    <row r="153" spans="3:17" x14ac:dyDescent="0.25">
      <c r="C153" s="155"/>
      <c r="D153" s="125">
        <v>11</v>
      </c>
      <c r="E153" s="125">
        <v>8</v>
      </c>
      <c r="F153" s="125">
        <v>4000</v>
      </c>
      <c r="G153" s="155"/>
      <c r="P153" s="123" t="s">
        <v>393</v>
      </c>
      <c r="Q153" s="122" t="str">
        <f t="shared" si="9"/>
        <v/>
      </c>
    </row>
    <row r="154" spans="3:17" x14ac:dyDescent="0.25">
      <c r="C154" s="155"/>
      <c r="D154" s="125">
        <v>11</v>
      </c>
      <c r="E154" s="125">
        <v>9</v>
      </c>
      <c r="F154" s="125">
        <v>1000</v>
      </c>
      <c r="G154" s="155"/>
      <c r="P154" s="123" t="s">
        <v>394</v>
      </c>
      <c r="Q154" s="122" t="str">
        <f t="shared" si="9"/>
        <v/>
      </c>
    </row>
    <row r="155" spans="3:17" x14ac:dyDescent="0.25">
      <c r="C155" s="155"/>
      <c r="D155" s="125">
        <v>12</v>
      </c>
      <c r="E155" s="125">
        <v>4</v>
      </c>
      <c r="F155" s="125">
        <v>4000</v>
      </c>
      <c r="G155" s="155"/>
      <c r="P155" s="123" t="s">
        <v>395</v>
      </c>
      <c r="Q155" s="122" t="str">
        <f t="shared" si="9"/>
        <v/>
      </c>
    </row>
    <row r="156" spans="3:17" x14ac:dyDescent="0.25">
      <c r="C156" s="155"/>
      <c r="D156" s="125">
        <v>12</v>
      </c>
      <c r="E156" s="125">
        <v>8</v>
      </c>
      <c r="F156" s="125">
        <v>4000</v>
      </c>
      <c r="G156" s="155"/>
      <c r="P156" s="123" t="s">
        <v>396</v>
      </c>
      <c r="Q156" s="122" t="str">
        <f t="shared" si="9"/>
        <v/>
      </c>
    </row>
    <row r="157" spans="3:17" x14ac:dyDescent="0.25">
      <c r="C157" s="155"/>
      <c r="D157" s="125">
        <v>12</v>
      </c>
      <c r="E157" s="125">
        <v>9</v>
      </c>
      <c r="F157" s="125">
        <v>1000</v>
      </c>
      <c r="G157" s="155"/>
      <c r="P157" s="123" t="s">
        <v>397</v>
      </c>
      <c r="Q157" s="122" t="str">
        <f t="shared" si="9"/>
        <v/>
      </c>
    </row>
    <row r="158" spans="3:17" x14ac:dyDescent="0.25">
      <c r="C158" s="155"/>
      <c r="D158" s="125">
        <v>13</v>
      </c>
      <c r="E158" s="125">
        <v>5</v>
      </c>
      <c r="F158" s="125">
        <v>3000</v>
      </c>
      <c r="G158" s="155"/>
      <c r="P158" s="123" t="s">
        <v>398</v>
      </c>
      <c r="Q158" s="122" t="str">
        <f t="shared" si="9"/>
        <v/>
      </c>
    </row>
    <row r="159" spans="3:17" x14ac:dyDescent="0.25">
      <c r="C159" s="155"/>
      <c r="D159" s="125">
        <v>13</v>
      </c>
      <c r="E159" s="125">
        <v>6</v>
      </c>
      <c r="F159" s="125">
        <v>3000</v>
      </c>
      <c r="G159" s="155"/>
      <c r="P159" s="123" t="s">
        <v>399</v>
      </c>
      <c r="Q159" s="122" t="str">
        <f t="shared" si="9"/>
        <v/>
      </c>
    </row>
    <row r="160" spans="3:17" x14ac:dyDescent="0.25">
      <c r="C160" s="155"/>
      <c r="D160" s="125">
        <v>13</v>
      </c>
      <c r="E160" s="125">
        <v>14</v>
      </c>
      <c r="F160" s="125">
        <v>1000</v>
      </c>
      <c r="G160" s="155"/>
      <c r="P160" s="123" t="s">
        <v>400</v>
      </c>
      <c r="Q160" s="122" t="str">
        <f t="shared" si="9"/>
        <v/>
      </c>
    </row>
    <row r="161" spans="1:17" x14ac:dyDescent="0.25">
      <c r="C161" s="155"/>
      <c r="D161" s="125">
        <v>14</v>
      </c>
      <c r="E161" s="125">
        <v>6</v>
      </c>
      <c r="F161" s="125">
        <v>3000</v>
      </c>
      <c r="G161" s="155"/>
      <c r="P161" s="123" t="s">
        <v>401</v>
      </c>
      <c r="Q161" s="122" t="str">
        <f t="shared" si="9"/>
        <v/>
      </c>
    </row>
    <row r="162" spans="1:17" x14ac:dyDescent="0.25">
      <c r="C162" s="155"/>
      <c r="D162" s="125">
        <v>14</v>
      </c>
      <c r="E162" s="125">
        <v>7</v>
      </c>
      <c r="F162" s="125">
        <v>3000</v>
      </c>
      <c r="G162" s="155"/>
      <c r="P162" s="123" t="s">
        <v>402</v>
      </c>
      <c r="Q162" s="122" t="str">
        <f t="shared" si="9"/>
        <v/>
      </c>
    </row>
    <row r="163" spans="1:17" x14ac:dyDescent="0.25">
      <c r="C163" s="155"/>
      <c r="D163" s="125">
        <v>14</v>
      </c>
      <c r="E163" s="125">
        <v>13</v>
      </c>
      <c r="F163" s="125">
        <v>1000</v>
      </c>
      <c r="G163" s="155"/>
      <c r="P163" s="123" t="s">
        <v>403</v>
      </c>
      <c r="Q163" s="122" t="str">
        <f t="shared" si="9"/>
        <v/>
      </c>
    </row>
    <row r="164" spans="1:17" x14ac:dyDescent="0.25">
      <c r="C164" s="155"/>
      <c r="D164" s="125">
        <v>15</v>
      </c>
      <c r="E164" s="125">
        <v>3</v>
      </c>
      <c r="F164" s="125">
        <v>3000</v>
      </c>
      <c r="G164" s="155"/>
      <c r="P164" s="123" t="s">
        <v>404</v>
      </c>
      <c r="Q164" s="122" t="str">
        <f t="shared" si="9"/>
        <v/>
      </c>
    </row>
    <row r="165" spans="1:17" x14ac:dyDescent="0.25">
      <c r="C165" s="155"/>
      <c r="D165" s="125">
        <v>15</v>
      </c>
      <c r="E165" s="125">
        <v>4</v>
      </c>
      <c r="F165" s="125">
        <v>3000</v>
      </c>
      <c r="G165" s="155"/>
      <c r="P165" s="123" t="s">
        <v>405</v>
      </c>
      <c r="Q165" s="122" t="str">
        <f t="shared" si="9"/>
        <v/>
      </c>
    </row>
    <row r="166" spans="1:17" x14ac:dyDescent="0.25">
      <c r="C166" s="155"/>
      <c r="D166" s="125">
        <v>15</v>
      </c>
      <c r="E166" s="125">
        <v>16</v>
      </c>
      <c r="F166" s="125">
        <v>1000</v>
      </c>
      <c r="G166" s="155"/>
      <c r="P166" s="123" t="s">
        <v>406</v>
      </c>
      <c r="Q166" s="122" t="str">
        <f t="shared" si="9"/>
        <v/>
      </c>
    </row>
    <row r="167" spans="1:17" x14ac:dyDescent="0.25">
      <c r="C167" s="155"/>
      <c r="D167" s="125">
        <v>16</v>
      </c>
      <c r="E167" s="125">
        <v>3</v>
      </c>
      <c r="F167" s="125">
        <v>3000</v>
      </c>
      <c r="G167" s="155"/>
      <c r="P167" s="123" t="s">
        <v>407</v>
      </c>
      <c r="Q167" s="122" t="str">
        <f t="shared" si="9"/>
        <v/>
      </c>
    </row>
    <row r="168" spans="1:17" x14ac:dyDescent="0.25">
      <c r="C168" s="155"/>
      <c r="D168" s="125">
        <v>16</v>
      </c>
      <c r="E168" s="125">
        <v>8</v>
      </c>
      <c r="F168" s="125">
        <v>3000</v>
      </c>
      <c r="G168" s="155"/>
      <c r="P168" s="123" t="s">
        <v>408</v>
      </c>
      <c r="Q168" s="122" t="str">
        <f t="shared" si="9"/>
        <v/>
      </c>
    </row>
    <row r="169" spans="1:17" x14ac:dyDescent="0.25">
      <c r="C169" s="155"/>
      <c r="D169" s="125">
        <v>16</v>
      </c>
      <c r="E169" s="125">
        <v>15</v>
      </c>
      <c r="F169" s="125">
        <v>1000</v>
      </c>
      <c r="G169" s="155"/>
      <c r="P169" s="123" t="s">
        <v>409</v>
      </c>
      <c r="Q169" s="122" t="str">
        <f t="shared" si="9"/>
        <v/>
      </c>
    </row>
    <row r="170" spans="1:17" x14ac:dyDescent="0.25">
      <c r="P170" s="123" t="s">
        <v>410</v>
      </c>
      <c r="Q170" s="122" t="str">
        <f t="shared" si="9"/>
        <v/>
      </c>
    </row>
    <row r="171" spans="1:17" x14ac:dyDescent="0.25">
      <c r="A171" s="127" t="s">
        <v>189</v>
      </c>
      <c r="B171" s="128"/>
      <c r="C171" s="128"/>
      <c r="D171" s="128"/>
      <c r="E171" s="128"/>
      <c r="F171" s="128"/>
      <c r="G171" s="128"/>
      <c r="H171" s="128"/>
      <c r="I171" s="128"/>
      <c r="P171" s="123" t="s">
        <v>411</v>
      </c>
      <c r="Q171" s="122" t="str">
        <f t="shared" si="9"/>
        <v/>
      </c>
    </row>
    <row r="172" spans="1:17" x14ac:dyDescent="0.25">
      <c r="A172" s="137"/>
      <c r="P172" s="123" t="s">
        <v>412</v>
      </c>
      <c r="Q172" s="122" t="str">
        <f t="shared" si="9"/>
        <v/>
      </c>
    </row>
    <row r="173" spans="1:17" x14ac:dyDescent="0.25">
      <c r="B173" s="126" t="s">
        <v>190</v>
      </c>
      <c r="P173" s="123" t="s">
        <v>413</v>
      </c>
      <c r="Q173" s="122" t="str">
        <f t="shared" si="9"/>
        <v/>
      </c>
    </row>
    <row r="174" spans="1:17" x14ac:dyDescent="0.25">
      <c r="B174" s="138" t="s">
        <v>131</v>
      </c>
      <c r="C174" s="139" t="s">
        <v>132</v>
      </c>
      <c r="D174" s="139" t="s">
        <v>133</v>
      </c>
      <c r="P174" s="123" t="s">
        <v>414</v>
      </c>
      <c r="Q174" s="122" t="str">
        <f t="shared" si="9"/>
        <v/>
      </c>
    </row>
    <row r="175" spans="1:17" x14ac:dyDescent="0.25">
      <c r="B175" s="138" t="s">
        <v>134</v>
      </c>
      <c r="C175" s="108">
        <v>7</v>
      </c>
      <c r="D175" s="108">
        <v>3</v>
      </c>
      <c r="P175" s="123" t="s">
        <v>415</v>
      </c>
      <c r="Q175" s="122" t="str">
        <f t="shared" si="9"/>
        <v/>
      </c>
    </row>
    <row r="176" spans="1:17" x14ac:dyDescent="0.25">
      <c r="B176" s="138" t="s">
        <v>135</v>
      </c>
      <c r="C176" s="108">
        <v>2</v>
      </c>
      <c r="D176" s="108">
        <v>8</v>
      </c>
      <c r="P176" s="123" t="s">
        <v>416</v>
      </c>
      <c r="Q176" s="122" t="str">
        <f t="shared" si="9"/>
        <v/>
      </c>
    </row>
    <row r="177" spans="2:17" x14ac:dyDescent="0.25">
      <c r="P177" s="123" t="s">
        <v>417</v>
      </c>
      <c r="Q177" s="122" t="str">
        <f t="shared" si="9"/>
        <v/>
      </c>
    </row>
    <row r="178" spans="2:17" x14ac:dyDescent="0.25">
      <c r="P178" s="123" t="s">
        <v>418</v>
      </c>
      <c r="Q178" s="122" t="str">
        <f t="shared" si="9"/>
        <v/>
      </c>
    </row>
    <row r="179" spans="2:17" x14ac:dyDescent="0.25">
      <c r="B179" s="126" t="s">
        <v>191</v>
      </c>
      <c r="C179" s="140" t="s">
        <v>113</v>
      </c>
      <c r="D179" s="140" t="s">
        <v>114</v>
      </c>
      <c r="E179" s="140" t="s">
        <v>115</v>
      </c>
      <c r="P179" s="123" t="s">
        <v>419</v>
      </c>
      <c r="Q179" s="122" t="str">
        <f t="shared" si="9"/>
        <v/>
      </c>
    </row>
    <row r="180" spans="2:17" x14ac:dyDescent="0.25">
      <c r="C180" s="108">
        <v>-5.7142857141414347E-3</v>
      </c>
      <c r="D180" s="108">
        <v>0.25357142856727116</v>
      </c>
      <c r="E180" s="108">
        <v>80.321428570163931</v>
      </c>
      <c r="P180" s="123" t="s">
        <v>420</v>
      </c>
      <c r="Q180" s="122" t="str">
        <f t="shared" si="9"/>
        <v/>
      </c>
    </row>
    <row r="181" spans="2:17" x14ac:dyDescent="0.25">
      <c r="P181" s="123" t="s">
        <v>421</v>
      </c>
      <c r="Q181" s="122" t="str">
        <f t="shared" si="9"/>
        <v/>
      </c>
    </row>
    <row r="182" spans="2:17" x14ac:dyDescent="0.25">
      <c r="C182" s="141" t="s">
        <v>119</v>
      </c>
      <c r="D182" s="141" t="s">
        <v>123</v>
      </c>
      <c r="P182" s="123" t="s">
        <v>422</v>
      </c>
      <c r="Q182" s="122" t="str">
        <f t="shared" si="9"/>
        <v/>
      </c>
    </row>
    <row r="183" spans="2:17" x14ac:dyDescent="0.25">
      <c r="C183" s="141">
        <v>1</v>
      </c>
      <c r="D183" s="108">
        <v>0</v>
      </c>
      <c r="P183" s="123" t="s">
        <v>423</v>
      </c>
      <c r="Q183" s="122" t="str">
        <f t="shared" si="9"/>
        <v/>
      </c>
    </row>
    <row r="184" spans="2:17" x14ac:dyDescent="0.25">
      <c r="C184" s="141">
        <v>2</v>
      </c>
      <c r="D184" s="108">
        <v>0</v>
      </c>
      <c r="P184" s="123" t="s">
        <v>424</v>
      </c>
      <c r="Q184" s="122" t="str">
        <f t="shared" si="9"/>
        <v/>
      </c>
    </row>
    <row r="185" spans="2:17" x14ac:dyDescent="0.25">
      <c r="C185" s="141">
        <v>3</v>
      </c>
      <c r="D185" s="108">
        <v>1</v>
      </c>
      <c r="P185" s="123" t="s">
        <v>425</v>
      </c>
      <c r="Q185" s="122" t="str">
        <f t="shared" si="9"/>
        <v/>
      </c>
    </row>
    <row r="186" spans="2:17" x14ac:dyDescent="0.25">
      <c r="C186" s="141">
        <v>4</v>
      </c>
      <c r="D186" s="108">
        <v>0</v>
      </c>
      <c r="P186" s="123" t="s">
        <v>426</v>
      </c>
      <c r="Q186" s="122" t="str">
        <f t="shared" si="9"/>
        <v/>
      </c>
    </row>
    <row r="187" spans="2:17" x14ac:dyDescent="0.25">
      <c r="C187" s="141">
        <v>5</v>
      </c>
      <c r="D187" s="108">
        <v>0</v>
      </c>
      <c r="P187" s="123" t="s">
        <v>427</v>
      </c>
      <c r="Q187" s="122" t="str">
        <f t="shared" si="9"/>
        <v/>
      </c>
    </row>
    <row r="188" spans="2:17" x14ac:dyDescent="0.25">
      <c r="C188" s="141">
        <v>6</v>
      </c>
      <c r="D188" s="108">
        <v>0</v>
      </c>
      <c r="P188" s="123" t="s">
        <v>428</v>
      </c>
      <c r="Q188" s="122" t="str">
        <f t="shared" si="9"/>
        <v/>
      </c>
    </row>
    <row r="189" spans="2:17" x14ac:dyDescent="0.25">
      <c r="C189" s="141">
        <v>7</v>
      </c>
      <c r="D189" s="108">
        <v>0</v>
      </c>
      <c r="P189" s="123" t="s">
        <v>429</v>
      </c>
      <c r="Q189" s="122" t="str">
        <f t="shared" si="9"/>
        <v/>
      </c>
    </row>
    <row r="190" spans="2:17" x14ac:dyDescent="0.25">
      <c r="C190" s="141">
        <v>8</v>
      </c>
      <c r="D190" s="108">
        <v>0</v>
      </c>
      <c r="P190" s="123" t="s">
        <v>430</v>
      </c>
      <c r="Q190" s="122" t="str">
        <f t="shared" si="9"/>
        <v/>
      </c>
    </row>
    <row r="191" spans="2:17" x14ac:dyDescent="0.25">
      <c r="C191" s="141">
        <v>9</v>
      </c>
      <c r="D191" s="108">
        <v>0</v>
      </c>
      <c r="P191" s="123" t="s">
        <v>431</v>
      </c>
      <c r="Q191" s="122" t="str">
        <f t="shared" si="9"/>
        <v/>
      </c>
    </row>
    <row r="192" spans="2:17" x14ac:dyDescent="0.25">
      <c r="C192" s="141">
        <v>10</v>
      </c>
      <c r="D192" s="108">
        <v>0</v>
      </c>
      <c r="P192" s="123" t="s">
        <v>432</v>
      </c>
      <c r="Q192" s="122" t="str">
        <f t="shared" si="9"/>
        <v/>
      </c>
    </row>
    <row r="193" spans="1:17" x14ac:dyDescent="0.25">
      <c r="C193" s="141">
        <v>11</v>
      </c>
      <c r="D193" s="108">
        <v>1</v>
      </c>
      <c r="P193" s="123" t="s">
        <v>433</v>
      </c>
      <c r="Q193" s="122" t="str">
        <f t="shared" si="9"/>
        <v/>
      </c>
    </row>
    <row r="194" spans="1:17" x14ac:dyDescent="0.25">
      <c r="C194" s="141">
        <v>12</v>
      </c>
      <c r="D194" s="108">
        <v>0</v>
      </c>
      <c r="P194" s="123" t="s">
        <v>434</v>
      </c>
      <c r="Q194" s="122" t="str">
        <f t="shared" si="9"/>
        <v/>
      </c>
    </row>
    <row r="195" spans="1:17" x14ac:dyDescent="0.25">
      <c r="C195" s="141">
        <v>13</v>
      </c>
      <c r="D195" s="108">
        <v>0</v>
      </c>
      <c r="P195" s="123" t="s">
        <v>435</v>
      </c>
      <c r="Q195" s="122" t="str">
        <f t="shared" si="9"/>
        <v/>
      </c>
    </row>
    <row r="196" spans="1:17" x14ac:dyDescent="0.25">
      <c r="C196" s="141">
        <v>14</v>
      </c>
      <c r="D196" s="108">
        <v>1</v>
      </c>
      <c r="P196" s="123" t="s">
        <v>436</v>
      </c>
      <c r="Q196" s="122" t="str">
        <f t="shared" si="9"/>
        <v/>
      </c>
    </row>
    <row r="197" spans="1:17" x14ac:dyDescent="0.25">
      <c r="C197" s="141">
        <v>15</v>
      </c>
      <c r="D197" s="108">
        <v>0</v>
      </c>
      <c r="P197" s="123" t="s">
        <v>437</v>
      </c>
      <c r="Q197" s="122" t="str">
        <f t="shared" si="9"/>
        <v/>
      </c>
    </row>
    <row r="198" spans="1:17" x14ac:dyDescent="0.25">
      <c r="C198" s="141">
        <v>16</v>
      </c>
      <c r="D198" s="108">
        <v>0</v>
      </c>
      <c r="P198" s="123" t="s">
        <v>438</v>
      </c>
      <c r="Q198" s="122" t="str">
        <f t="shared" si="9"/>
        <v/>
      </c>
    </row>
    <row r="199" spans="1:17" x14ac:dyDescent="0.25">
      <c r="C199" s="141">
        <v>17</v>
      </c>
      <c r="D199" s="108">
        <v>0</v>
      </c>
      <c r="P199" s="123" t="s">
        <v>439</v>
      </c>
      <c r="Q199" s="122" t="str">
        <f t="shared" si="9"/>
        <v/>
      </c>
    </row>
    <row r="200" spans="1:17" x14ac:dyDescent="0.25">
      <c r="C200" s="141">
        <v>18</v>
      </c>
      <c r="D200" s="108">
        <v>0</v>
      </c>
      <c r="P200" s="123" t="s">
        <v>440</v>
      </c>
      <c r="Q200" s="122" t="str">
        <f t="shared" si="9"/>
        <v/>
      </c>
    </row>
    <row r="201" spans="1:17" x14ac:dyDescent="0.25">
      <c r="C201" s="141">
        <v>19</v>
      </c>
      <c r="D201" s="108">
        <v>0</v>
      </c>
      <c r="P201" s="123" t="s">
        <v>441</v>
      </c>
      <c r="Q201" s="122" t="str">
        <f>IF(ISERROR(G169),"",IF(ISBLANK(G169),"",G169))</f>
        <v/>
      </c>
    </row>
    <row r="202" spans="1:17" x14ac:dyDescent="0.25">
      <c r="C202" s="141">
        <v>20</v>
      </c>
      <c r="D202" s="108">
        <v>0</v>
      </c>
      <c r="P202" s="123" t="s">
        <v>442</v>
      </c>
      <c r="Q202" s="122">
        <f>IF(ISERROR(C175),"",IF(ISBLANK(C175),"",C175))</f>
        <v>7</v>
      </c>
    </row>
    <row r="203" spans="1:17" x14ac:dyDescent="0.25">
      <c r="B203" s="140"/>
      <c r="C203" s="140"/>
      <c r="D203" s="140"/>
      <c r="E203" s="140"/>
      <c r="P203" s="123" t="s">
        <v>443</v>
      </c>
      <c r="Q203" s="122">
        <f>IF(ISERROR(C176),"",IF(ISBLANK(C176),"",C176))</f>
        <v>2</v>
      </c>
    </row>
    <row r="204" spans="1:17" x14ac:dyDescent="0.25">
      <c r="B204" s="140"/>
      <c r="C204" s="142" t="s">
        <v>130</v>
      </c>
      <c r="D204" s="108">
        <v>3</v>
      </c>
      <c r="P204" s="123" t="s">
        <v>444</v>
      </c>
      <c r="Q204" s="122">
        <f>IF(ISERROR(D175),"",IF(ISBLANK(D175),"",D175))</f>
        <v>3</v>
      </c>
    </row>
    <row r="205" spans="1:17" x14ac:dyDescent="0.25">
      <c r="P205" s="123" t="s">
        <v>445</v>
      </c>
      <c r="Q205" s="122">
        <f>IF(ISERROR(D176),"",IF(ISBLANK(D176),"",D176))</f>
        <v>8</v>
      </c>
    </row>
    <row r="206" spans="1:17" x14ac:dyDescent="0.25">
      <c r="A206" s="127" t="s">
        <v>192</v>
      </c>
      <c r="B206" s="128"/>
      <c r="C206" s="128"/>
      <c r="D206" s="128"/>
      <c r="E206" s="128"/>
      <c r="F206" s="128"/>
      <c r="G206" s="128"/>
      <c r="H206" s="128"/>
      <c r="I206" s="128"/>
      <c r="P206" s="123" t="s">
        <v>446</v>
      </c>
      <c r="Q206" s="122">
        <f>IF(ISERROR(C180),"",IF(ISBLANK(C180),"",C180))</f>
        <v>-5.7142857141414347E-3</v>
      </c>
    </row>
    <row r="207" spans="1:17" x14ac:dyDescent="0.25">
      <c r="P207" s="123" t="s">
        <v>447</v>
      </c>
      <c r="Q207" s="122">
        <f>IF(ISERROR(D180),"",IF(ISBLANK(D180),"",D180))</f>
        <v>0.25357142856727116</v>
      </c>
    </row>
    <row r="208" spans="1:17" x14ac:dyDescent="0.25">
      <c r="B208" s="126" t="s">
        <v>193</v>
      </c>
      <c r="C208" s="130"/>
      <c r="P208" s="123" t="s">
        <v>448</v>
      </c>
      <c r="Q208" s="122">
        <f>IF(ISERROR(E180),"",IF(ISBLANK(E180),"",E180))</f>
        <v>80.321428570163931</v>
      </c>
    </row>
    <row r="209" spans="1:17" x14ac:dyDescent="0.25">
      <c r="B209" s="135" t="s">
        <v>233</v>
      </c>
      <c r="C209" s="108"/>
      <c r="P209" s="123" t="s">
        <v>449</v>
      </c>
      <c r="Q209" s="122">
        <f>IF(ISERROR(D183),"",IF(ISBLANK(D183),"",D183))</f>
        <v>0</v>
      </c>
    </row>
    <row r="210" spans="1:17" x14ac:dyDescent="0.25">
      <c r="B210" s="135" t="s">
        <v>234</v>
      </c>
      <c r="C210" s="108"/>
      <c r="P210" s="123" t="s">
        <v>450</v>
      </c>
      <c r="Q210" s="122">
        <f t="shared" ref="Q210:Q227" si="10">IF(ISERROR(D184),"",IF(ISBLANK(D184),"",D184))</f>
        <v>0</v>
      </c>
    </row>
    <row r="211" spans="1:17" x14ac:dyDescent="0.25">
      <c r="B211" s="126" t="s">
        <v>194</v>
      </c>
      <c r="C211" s="108"/>
      <c r="P211" s="123" t="s">
        <v>451</v>
      </c>
      <c r="Q211" s="122">
        <f t="shared" si="10"/>
        <v>1</v>
      </c>
    </row>
    <row r="212" spans="1:17" x14ac:dyDescent="0.25">
      <c r="B212" s="126" t="s">
        <v>195</v>
      </c>
      <c r="C212" s="108"/>
      <c r="P212" s="123" t="s">
        <v>452</v>
      </c>
      <c r="Q212" s="122">
        <f t="shared" si="10"/>
        <v>0</v>
      </c>
    </row>
    <row r="213" spans="1:17" x14ac:dyDescent="0.25">
      <c r="B213" s="126" t="s">
        <v>196</v>
      </c>
      <c r="C213" s="108"/>
      <c r="P213" s="123" t="s">
        <v>453</v>
      </c>
      <c r="Q213" s="122">
        <f t="shared" si="10"/>
        <v>0</v>
      </c>
    </row>
    <row r="214" spans="1:17" x14ac:dyDescent="0.25">
      <c r="B214" s="126" t="s">
        <v>197</v>
      </c>
      <c r="C214" s="108"/>
      <c r="P214" s="123" t="s">
        <v>454</v>
      </c>
      <c r="Q214" s="122">
        <f t="shared" si="10"/>
        <v>0</v>
      </c>
    </row>
    <row r="215" spans="1:17" x14ac:dyDescent="0.25">
      <c r="B215" s="126" t="s">
        <v>198</v>
      </c>
      <c r="C215" s="108"/>
      <c r="P215" s="123" t="s">
        <v>455</v>
      </c>
      <c r="Q215" s="122">
        <f t="shared" si="10"/>
        <v>0</v>
      </c>
    </row>
    <row r="216" spans="1:17" x14ac:dyDescent="0.25">
      <c r="P216" s="123" t="s">
        <v>456</v>
      </c>
      <c r="Q216" s="122">
        <f t="shared" si="10"/>
        <v>0</v>
      </c>
    </row>
    <row r="217" spans="1:17" x14ac:dyDescent="0.25">
      <c r="P217" s="123" t="s">
        <v>457</v>
      </c>
      <c r="Q217" s="122">
        <f t="shared" si="10"/>
        <v>0</v>
      </c>
    </row>
    <row r="218" spans="1:17" x14ac:dyDescent="0.25">
      <c r="A218" s="127" t="s">
        <v>199</v>
      </c>
      <c r="B218" s="128"/>
      <c r="C218" s="128"/>
      <c r="D218" s="128"/>
      <c r="E218" s="128"/>
      <c r="F218" s="128"/>
      <c r="G218" s="128"/>
      <c r="H218" s="128"/>
      <c r="I218" s="128"/>
      <c r="P218" s="123" t="s">
        <v>458</v>
      </c>
      <c r="Q218" s="122">
        <f t="shared" si="10"/>
        <v>0</v>
      </c>
    </row>
    <row r="219" spans="1:17" x14ac:dyDescent="0.25">
      <c r="A219" s="137"/>
      <c r="P219" s="123" t="s">
        <v>459</v>
      </c>
      <c r="Q219" s="122">
        <f t="shared" si="10"/>
        <v>1</v>
      </c>
    </row>
    <row r="220" spans="1:17" x14ac:dyDescent="0.25">
      <c r="B220" s="126" t="s">
        <v>200</v>
      </c>
      <c r="C220" s="143" t="s">
        <v>156</v>
      </c>
      <c r="P220" s="123" t="s">
        <v>460</v>
      </c>
      <c r="Q220" s="122">
        <f t="shared" si="10"/>
        <v>0</v>
      </c>
    </row>
    <row r="221" spans="1:17" x14ac:dyDescent="0.25">
      <c r="P221" s="123" t="s">
        <v>461</v>
      </c>
      <c r="Q221" s="122">
        <f t="shared" si="10"/>
        <v>0</v>
      </c>
    </row>
    <row r="222" spans="1:17" ht="87.75" x14ac:dyDescent="0.25">
      <c r="B222" s="137" t="s">
        <v>201</v>
      </c>
      <c r="C222" s="144"/>
      <c r="D222" s="145" t="s">
        <v>210</v>
      </c>
      <c r="E222" s="145" t="s">
        <v>211</v>
      </c>
      <c r="F222" s="145" t="s">
        <v>212</v>
      </c>
      <c r="G222" s="146" t="s">
        <v>213</v>
      </c>
      <c r="P222" s="123" t="s">
        <v>462</v>
      </c>
      <c r="Q222" s="122">
        <f t="shared" si="10"/>
        <v>1</v>
      </c>
    </row>
    <row r="223" spans="1:17" ht="15.75" x14ac:dyDescent="0.25">
      <c r="B223" s="147"/>
      <c r="C223" s="148" t="s">
        <v>202</v>
      </c>
      <c r="D223" s="109"/>
      <c r="E223" s="109">
        <v>0.5</v>
      </c>
      <c r="F223" s="149"/>
      <c r="G223" s="110"/>
      <c r="P223" s="123" t="s">
        <v>463</v>
      </c>
      <c r="Q223" s="122">
        <f t="shared" si="10"/>
        <v>0</v>
      </c>
    </row>
    <row r="224" spans="1:17" ht="15.75" x14ac:dyDescent="0.25">
      <c r="B224" s="147"/>
      <c r="C224" s="148" t="s">
        <v>236</v>
      </c>
      <c r="D224" s="149"/>
      <c r="E224" s="149"/>
      <c r="F224" s="109"/>
      <c r="G224" s="150"/>
      <c r="P224" s="123" t="s">
        <v>464</v>
      </c>
      <c r="Q224" s="122">
        <f t="shared" si="10"/>
        <v>0</v>
      </c>
    </row>
    <row r="225" spans="1:17" ht="15.75" x14ac:dyDescent="0.25">
      <c r="B225" s="147"/>
      <c r="C225" s="148" t="s">
        <v>203</v>
      </c>
      <c r="D225" s="109"/>
      <c r="E225" s="109">
        <v>20</v>
      </c>
      <c r="F225" s="109"/>
      <c r="G225" s="150"/>
      <c r="P225" s="123" t="s">
        <v>465</v>
      </c>
      <c r="Q225" s="122">
        <f t="shared" si="10"/>
        <v>0</v>
      </c>
    </row>
    <row r="226" spans="1:17" ht="15.75" x14ac:dyDescent="0.25">
      <c r="B226" s="147"/>
      <c r="C226" s="148" t="s">
        <v>204</v>
      </c>
      <c r="D226" s="109"/>
      <c r="E226" s="109">
        <v>4</v>
      </c>
      <c r="F226" s="109"/>
      <c r="G226" s="150"/>
      <c r="P226" s="123" t="s">
        <v>466</v>
      </c>
      <c r="Q226" s="122">
        <f t="shared" si="10"/>
        <v>0</v>
      </c>
    </row>
    <row r="227" spans="1:17" ht="15.75" x14ac:dyDescent="0.25">
      <c r="B227" s="147"/>
      <c r="C227" s="148" t="s">
        <v>26</v>
      </c>
      <c r="D227" s="149"/>
      <c r="E227" s="109">
        <v>35</v>
      </c>
      <c r="F227" s="149"/>
      <c r="G227" s="150"/>
      <c r="P227" s="123" t="s">
        <v>467</v>
      </c>
      <c r="Q227" s="122">
        <f t="shared" si="10"/>
        <v>0</v>
      </c>
    </row>
    <row r="228" spans="1:17" ht="15.75" x14ac:dyDescent="0.25">
      <c r="B228" s="147"/>
      <c r="C228" s="148" t="s">
        <v>36</v>
      </c>
      <c r="D228" s="149"/>
      <c r="E228" s="149"/>
      <c r="F228" s="109"/>
      <c r="G228" s="150"/>
      <c r="P228" s="123" t="s">
        <v>468</v>
      </c>
      <c r="Q228" s="122">
        <f>IF(ISERROR(D202),"",IF(ISBLANK(D202),"",D202))</f>
        <v>0</v>
      </c>
    </row>
    <row r="229" spans="1:17" ht="15.75" x14ac:dyDescent="0.25">
      <c r="B229" s="147"/>
      <c r="C229" s="148" t="s">
        <v>31</v>
      </c>
      <c r="D229" s="149"/>
      <c r="E229" s="149"/>
      <c r="F229" s="149"/>
      <c r="G229" s="110"/>
      <c r="P229" s="123" t="s">
        <v>469</v>
      </c>
      <c r="Q229" s="122">
        <f>IF(ISERROR(D204),"",IF(ISBLANK(D204),"",D204))</f>
        <v>3</v>
      </c>
    </row>
    <row r="230" spans="1:17" ht="15.75" x14ac:dyDescent="0.25">
      <c r="C230" s="151" t="s">
        <v>205</v>
      </c>
      <c r="D230" s="152"/>
      <c r="E230" s="152"/>
      <c r="F230" s="152"/>
      <c r="G230" s="111"/>
      <c r="P230" s="123" t="s">
        <v>470</v>
      </c>
      <c r="Q230" s="122" t="str">
        <f>IF(ISERROR(C209),"",IF(ISBLANK(C209),"",C209))</f>
        <v/>
      </c>
    </row>
    <row r="231" spans="1:17" customFormat="1" x14ac:dyDescent="0.25">
      <c r="A231" s="130"/>
      <c r="B231" s="130"/>
      <c r="C231" s="130"/>
      <c r="D231" s="130"/>
      <c r="E231" s="130"/>
      <c r="F231" s="130"/>
      <c r="G231" s="130"/>
      <c r="H231" s="130"/>
      <c r="I231" s="130"/>
      <c r="J231" s="130"/>
      <c r="K231" s="130"/>
      <c r="L231" s="130"/>
      <c r="M231" s="130"/>
      <c r="N231" s="122"/>
      <c r="O231" s="122"/>
      <c r="P231" s="123" t="s">
        <v>471</v>
      </c>
      <c r="Q231" s="122" t="str">
        <f t="shared" ref="Q231:Q235" si="11">IF(ISERROR(C210),"",IF(ISBLANK(C210),"",C210))</f>
        <v/>
      </c>
    </row>
    <row r="232" spans="1:17" x14ac:dyDescent="0.25">
      <c r="B232" s="137" t="s">
        <v>206</v>
      </c>
      <c r="C232" s="106"/>
      <c r="P232" s="123" t="s">
        <v>472</v>
      </c>
      <c r="Q232" s="122" t="str">
        <f t="shared" si="11"/>
        <v/>
      </c>
    </row>
    <row r="233" spans="1:17" x14ac:dyDescent="0.25">
      <c r="P233" s="123" t="s">
        <v>473</v>
      </c>
      <c r="Q233" s="122" t="str">
        <f t="shared" si="11"/>
        <v/>
      </c>
    </row>
    <row r="234" spans="1:17" x14ac:dyDescent="0.25">
      <c r="B234" s="137" t="s">
        <v>207</v>
      </c>
      <c r="C234" s="153" t="s">
        <v>208</v>
      </c>
      <c r="P234" s="123" t="s">
        <v>474</v>
      </c>
      <c r="Q234" s="122" t="str">
        <f t="shared" si="11"/>
        <v/>
      </c>
    </row>
    <row r="235" spans="1:17" x14ac:dyDescent="0.25">
      <c r="B235" s="147"/>
      <c r="C235" s="106" t="s">
        <v>523</v>
      </c>
      <c r="P235" s="123" t="s">
        <v>475</v>
      </c>
      <c r="Q235" s="122" t="str">
        <f t="shared" si="11"/>
        <v/>
      </c>
    </row>
    <row r="236" spans="1:17" x14ac:dyDescent="0.25">
      <c r="B236" s="147"/>
      <c r="C236" s="106" t="s">
        <v>524</v>
      </c>
      <c r="P236" s="123" t="s">
        <v>476</v>
      </c>
      <c r="Q236" s="122" t="str">
        <f>IF(ISERROR(C215),"",IF(ISBLANK(C215),"",C215))</f>
        <v/>
      </c>
    </row>
    <row r="237" spans="1:17" x14ac:dyDescent="0.25">
      <c r="B237" s="147"/>
      <c r="C237" s="106"/>
      <c r="P237" s="123" t="s">
        <v>477</v>
      </c>
      <c r="Q237" s="122" t="str">
        <f>IF(ISBLANK(O13),"",INDEX($N$1:$N$5,O13))</f>
        <v>c</v>
      </c>
    </row>
    <row r="238" spans="1:17" x14ac:dyDescent="0.25">
      <c r="B238" s="147"/>
      <c r="C238" s="106"/>
      <c r="P238" s="123" t="s">
        <v>478</v>
      </c>
      <c r="Q238" s="122" t="str">
        <f>IF(ISERROR(D223),"",IF(ISBLANK(D223),"",D223))</f>
        <v/>
      </c>
    </row>
    <row r="239" spans="1:17" x14ac:dyDescent="0.25">
      <c r="B239" s="147"/>
      <c r="C239" s="106"/>
      <c r="P239" s="123" t="s">
        <v>479</v>
      </c>
      <c r="Q239" s="122" t="str">
        <f>IF(ISERROR(D225),"",IF(ISBLANK(D225),"",D225))</f>
        <v/>
      </c>
    </row>
    <row r="240" spans="1:17" x14ac:dyDescent="0.25">
      <c r="P240" s="123" t="s">
        <v>480</v>
      </c>
      <c r="Q240" s="122" t="str">
        <f>IF(ISERROR(D226),"",IF(ISBLANK(D226),"",D226))</f>
        <v/>
      </c>
    </row>
    <row r="241" spans="16:17" x14ac:dyDescent="0.25">
      <c r="P241" s="123" t="s">
        <v>481</v>
      </c>
      <c r="Q241" s="122">
        <f>IF(ISERROR(E223),"",IF(ISBLANK(E223),"",E223))</f>
        <v>0.5</v>
      </c>
    </row>
    <row r="242" spans="16:17" x14ac:dyDescent="0.25">
      <c r="P242" s="123" t="s">
        <v>482</v>
      </c>
      <c r="Q242" s="122">
        <f>IF(ISERROR(E225),"",IF(ISBLANK(E225),"",E225))</f>
        <v>20</v>
      </c>
    </row>
    <row r="243" spans="16:17" x14ac:dyDescent="0.25">
      <c r="P243" s="123" t="s">
        <v>483</v>
      </c>
      <c r="Q243" s="122">
        <f t="shared" ref="Q243" si="12">IF(ISERROR(E226),"",IF(ISBLANK(E226),"",E226))</f>
        <v>4</v>
      </c>
    </row>
    <row r="244" spans="16:17" x14ac:dyDescent="0.25">
      <c r="P244" s="123" t="s">
        <v>484</v>
      </c>
      <c r="Q244" s="122">
        <f>IF(ISERROR(E227),"",IF(ISBLANK(E227),"",E227))</f>
        <v>35</v>
      </c>
    </row>
    <row r="245" spans="16:17" x14ac:dyDescent="0.25">
      <c r="P245" s="123" t="s">
        <v>485</v>
      </c>
      <c r="Q245" s="122" t="str">
        <f>IF(ISERROR(F224),"",IF(ISBLANK(F224),"",F224))</f>
        <v/>
      </c>
    </row>
    <row r="246" spans="16:17" x14ac:dyDescent="0.25">
      <c r="P246" s="123" t="s">
        <v>482</v>
      </c>
      <c r="Q246" s="122" t="str">
        <f t="shared" ref="Q246" si="13">IF(ISERROR(F225),"",IF(ISBLANK(F225),"",F225))</f>
        <v/>
      </c>
    </row>
    <row r="247" spans="16:17" x14ac:dyDescent="0.25">
      <c r="P247" s="123" t="s">
        <v>483</v>
      </c>
      <c r="Q247" s="122" t="str">
        <f>IF(ISERROR(F226),"",IF(ISBLANK(F226),"",F226))</f>
        <v/>
      </c>
    </row>
    <row r="248" spans="16:17" x14ac:dyDescent="0.25">
      <c r="P248" s="123" t="s">
        <v>486</v>
      </c>
      <c r="Q248" s="122" t="str">
        <f>IF(ISERROR(F228),"",IF(ISBLANK(F228),"",F228))</f>
        <v/>
      </c>
    </row>
    <row r="249" spans="16:17" x14ac:dyDescent="0.25">
      <c r="P249" s="123" t="s">
        <v>487</v>
      </c>
      <c r="Q249" s="122" t="str">
        <f>IF(ISERROR(G223),"",IF(ISBLANK(G223),"",G223))</f>
        <v/>
      </c>
    </row>
    <row r="250" spans="16:17" x14ac:dyDescent="0.25">
      <c r="P250" s="123" t="s">
        <v>488</v>
      </c>
      <c r="Q250" s="122" t="str">
        <f>IF(ISERROR(G229),"",IF(ISBLANK(G229),"",G229))</f>
        <v/>
      </c>
    </row>
    <row r="251" spans="16:17" x14ac:dyDescent="0.25">
      <c r="P251" s="123" t="s">
        <v>489</v>
      </c>
      <c r="Q251" s="122" t="str">
        <f>IF(ISERROR(G230),"",IF(ISBLANK(G230),"",G230))</f>
        <v/>
      </c>
    </row>
    <row r="252" spans="16:17" x14ac:dyDescent="0.25">
      <c r="P252" s="123" t="s">
        <v>490</v>
      </c>
      <c r="Q252" s="122" t="str">
        <f>IF(ISERROR(C232),"",IF(ISBLANK(C232),"",C232))</f>
        <v/>
      </c>
    </row>
    <row r="253" spans="16:17" x14ac:dyDescent="0.25">
      <c r="P253" s="123" t="s">
        <v>491</v>
      </c>
      <c r="Q253" s="122" t="str">
        <f>IF(ISERROR(C235),"",IF(ISBLANK(C235),"",C235))</f>
        <v>E8</v>
      </c>
    </row>
    <row r="254" spans="16:17" x14ac:dyDescent="0.25">
      <c r="P254" s="123" t="s">
        <v>492</v>
      </c>
      <c r="Q254" s="122" t="str">
        <f t="shared" ref="Q254:Q256" si="14">IF(ISERROR(C236),"",IF(ISBLANK(C236),"",C236))</f>
        <v>G15</v>
      </c>
    </row>
    <row r="255" spans="16:17" x14ac:dyDescent="0.25">
      <c r="P255" s="123" t="s">
        <v>493</v>
      </c>
      <c r="Q255" s="122" t="str">
        <f t="shared" si="14"/>
        <v/>
      </c>
    </row>
    <row r="256" spans="16:17" x14ac:dyDescent="0.25">
      <c r="P256" s="123" t="s">
        <v>494</v>
      </c>
      <c r="Q256" s="122" t="str">
        <f t="shared" si="14"/>
        <v/>
      </c>
    </row>
    <row r="257" spans="16:17" x14ac:dyDescent="0.25">
      <c r="P257" s="123" t="s">
        <v>495</v>
      </c>
      <c r="Q257" s="122" t="str">
        <f>IF(ISERROR(C239),"",IF(ISBLANK(C239),"",C239))</f>
        <v/>
      </c>
    </row>
  </sheetData>
  <sheetProtection algorithmName="SHA-512" hashValue="D4acq6xvhFLMA0bFS1kX7K92xd55zMV0dD+7YWLacAcOLzM4IF4qlD77l0jnr1/1czeuIV1siBisMkScrlaafQ==" saltValue="C8U8jzab8gLKY7V2F5JXRg==" spinCount="100000" sheet="1" objects="1" scenarios="1"/>
  <protectedRanges>
    <protectedRange sqref="D224:E224 G224 D226:F226" name="Range1_2_3"/>
  </protectedRanges>
  <phoneticPr fontId="2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1</xdr:col>
                    <xdr:colOff>885825</xdr:colOff>
                    <xdr:row>4</xdr:row>
                    <xdr:rowOff>0</xdr:rowOff>
                  </from>
                  <to>
                    <xdr:col>2</xdr:col>
                    <xdr:colOff>1704975</xdr:colOff>
                    <xdr:row>5</xdr:row>
                    <xdr:rowOff>0</xdr:rowOff>
                  </to>
                </anchor>
              </controlPr>
            </control>
          </mc:Choice>
        </mc:AlternateContent>
        <mc:AlternateContent xmlns:mc="http://schemas.openxmlformats.org/markup-compatibility/2006">
          <mc:Choice Requires="x14">
            <control shapeId="7170" r:id="rId5" name="Drop Down 2">
              <controlPr defaultSize="0" autoLine="0" autoPict="0">
                <anchor moveWithCells="1">
                  <from>
                    <xdr:col>1</xdr:col>
                    <xdr:colOff>885825</xdr:colOff>
                    <xdr:row>5</xdr:row>
                    <xdr:rowOff>9525</xdr:rowOff>
                  </from>
                  <to>
                    <xdr:col>2</xdr:col>
                    <xdr:colOff>1704975</xdr:colOff>
                    <xdr:row>6</xdr:row>
                    <xdr:rowOff>9525</xdr:rowOff>
                  </to>
                </anchor>
              </controlPr>
            </control>
          </mc:Choice>
        </mc:AlternateContent>
        <mc:AlternateContent xmlns:mc="http://schemas.openxmlformats.org/markup-compatibility/2006">
          <mc:Choice Requires="x14">
            <control shapeId="7171" r:id="rId6" name="Drop Down 3">
              <controlPr defaultSize="0" autoLine="0" autoPict="0">
                <anchor moveWithCells="1">
                  <from>
                    <xdr:col>1</xdr:col>
                    <xdr:colOff>885825</xdr:colOff>
                    <xdr:row>6</xdr:row>
                    <xdr:rowOff>9525</xdr:rowOff>
                  </from>
                  <to>
                    <xdr:col>2</xdr:col>
                    <xdr:colOff>1704975</xdr:colOff>
                    <xdr:row>7</xdr:row>
                    <xdr:rowOff>9525</xdr:rowOff>
                  </to>
                </anchor>
              </controlPr>
            </control>
          </mc:Choice>
        </mc:AlternateContent>
        <mc:AlternateContent xmlns:mc="http://schemas.openxmlformats.org/markup-compatibility/2006">
          <mc:Choice Requires="x14">
            <control shapeId="7172" r:id="rId7" name="Drop Down 4">
              <controlPr defaultSize="0" autoLine="0" autoPict="0">
                <anchor moveWithCells="1">
                  <from>
                    <xdr:col>2</xdr:col>
                    <xdr:colOff>9525</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7173" r:id="rId8" name="Drop Down 5">
              <controlPr defaultSize="0" autoLine="0" autoPict="0">
                <anchor moveWithCells="1">
                  <from>
                    <xdr:col>2</xdr:col>
                    <xdr:colOff>0</xdr:colOff>
                    <xdr:row>74</xdr:row>
                    <xdr:rowOff>180975</xdr:rowOff>
                  </from>
                  <to>
                    <xdr:col>3</xdr:col>
                    <xdr:colOff>0</xdr:colOff>
                    <xdr:row>75</xdr:row>
                    <xdr:rowOff>180975</xdr:rowOff>
                  </to>
                </anchor>
              </controlPr>
            </control>
          </mc:Choice>
        </mc:AlternateContent>
        <mc:AlternateContent xmlns:mc="http://schemas.openxmlformats.org/markup-compatibility/2006">
          <mc:Choice Requires="x14">
            <control shapeId="7174" r:id="rId9" name="Drop Down 6">
              <controlPr defaultSize="0" autoLine="0" autoPict="0">
                <anchor moveWithCells="1">
                  <from>
                    <xdr:col>2</xdr:col>
                    <xdr:colOff>0</xdr:colOff>
                    <xdr:row>75</xdr:row>
                    <xdr:rowOff>171450</xdr:rowOff>
                  </from>
                  <to>
                    <xdr:col>3</xdr:col>
                    <xdr:colOff>0</xdr:colOff>
                    <xdr:row>76</xdr:row>
                    <xdr:rowOff>171450</xdr:rowOff>
                  </to>
                </anchor>
              </controlPr>
            </control>
          </mc:Choice>
        </mc:AlternateContent>
        <mc:AlternateContent xmlns:mc="http://schemas.openxmlformats.org/markup-compatibility/2006">
          <mc:Choice Requires="x14">
            <control shapeId="7175" r:id="rId10" name="Drop Down 7">
              <controlPr defaultSize="0" autoLine="0" autoPict="0">
                <anchor moveWithCells="1">
                  <from>
                    <xdr:col>2</xdr:col>
                    <xdr:colOff>0</xdr:colOff>
                    <xdr:row>76</xdr:row>
                    <xdr:rowOff>180975</xdr:rowOff>
                  </from>
                  <to>
                    <xdr:col>3</xdr:col>
                    <xdr:colOff>0</xdr:colOff>
                    <xdr:row>77</xdr:row>
                    <xdr:rowOff>180975</xdr:rowOff>
                  </to>
                </anchor>
              </controlPr>
            </control>
          </mc:Choice>
        </mc:AlternateContent>
        <mc:AlternateContent xmlns:mc="http://schemas.openxmlformats.org/markup-compatibility/2006">
          <mc:Choice Requires="x14">
            <control shapeId="7176" r:id="rId11" name="Drop Down 8">
              <controlPr defaultSize="0" autoLine="0" autoPict="0">
                <anchor moveWithCells="1">
                  <from>
                    <xdr:col>2</xdr:col>
                    <xdr:colOff>0</xdr:colOff>
                    <xdr:row>77</xdr:row>
                    <xdr:rowOff>180975</xdr:rowOff>
                  </from>
                  <to>
                    <xdr:col>3</xdr:col>
                    <xdr:colOff>0</xdr:colOff>
                    <xdr:row>78</xdr:row>
                    <xdr:rowOff>180975</xdr:rowOff>
                  </to>
                </anchor>
              </controlPr>
            </control>
          </mc:Choice>
        </mc:AlternateContent>
        <mc:AlternateContent xmlns:mc="http://schemas.openxmlformats.org/markup-compatibility/2006">
          <mc:Choice Requires="x14">
            <control shapeId="7177" r:id="rId12" name="Drop Down 9">
              <controlPr defaultSize="0" autoLine="0" autoPict="0">
                <anchor moveWithCells="1">
                  <from>
                    <xdr:col>2</xdr:col>
                    <xdr:colOff>0</xdr:colOff>
                    <xdr:row>78</xdr:row>
                    <xdr:rowOff>180975</xdr:rowOff>
                  </from>
                  <to>
                    <xdr:col>3</xdr:col>
                    <xdr:colOff>0</xdr:colOff>
                    <xdr:row>79</xdr:row>
                    <xdr:rowOff>180975</xdr:rowOff>
                  </to>
                </anchor>
              </controlPr>
            </control>
          </mc:Choice>
        </mc:AlternateContent>
        <mc:AlternateContent xmlns:mc="http://schemas.openxmlformats.org/markup-compatibility/2006">
          <mc:Choice Requires="x14">
            <control shapeId="7178" r:id="rId13" name="Drop Down 10">
              <controlPr defaultSize="0" autoLine="0" autoPict="0">
                <anchor moveWithCells="1">
                  <from>
                    <xdr:col>2</xdr:col>
                    <xdr:colOff>0</xdr:colOff>
                    <xdr:row>79</xdr:row>
                    <xdr:rowOff>171450</xdr:rowOff>
                  </from>
                  <to>
                    <xdr:col>3</xdr:col>
                    <xdr:colOff>0</xdr:colOff>
                    <xdr:row>80</xdr:row>
                    <xdr:rowOff>171450</xdr:rowOff>
                  </to>
                </anchor>
              </controlPr>
            </control>
          </mc:Choice>
        </mc:AlternateContent>
        <mc:AlternateContent xmlns:mc="http://schemas.openxmlformats.org/markup-compatibility/2006">
          <mc:Choice Requires="x14">
            <control shapeId="7179" r:id="rId14" name="Drop Down 11">
              <controlPr defaultSize="0" autoLine="0" autoPict="0">
                <anchor moveWithCells="1">
                  <from>
                    <xdr:col>2</xdr:col>
                    <xdr:colOff>0</xdr:colOff>
                    <xdr:row>80</xdr:row>
                    <xdr:rowOff>180975</xdr:rowOff>
                  </from>
                  <to>
                    <xdr:col>3</xdr:col>
                    <xdr:colOff>0</xdr:colOff>
                    <xdr:row>81</xdr:row>
                    <xdr:rowOff>180975</xdr:rowOff>
                  </to>
                </anchor>
              </controlPr>
            </control>
          </mc:Choice>
        </mc:AlternateContent>
        <mc:AlternateContent xmlns:mc="http://schemas.openxmlformats.org/markup-compatibility/2006">
          <mc:Choice Requires="x14">
            <control shapeId="7180" r:id="rId15" name="Drop Down 12">
              <controlPr defaultSize="0" autoLine="0" autoPict="0">
                <anchor moveWithCells="1">
                  <from>
                    <xdr:col>2</xdr:col>
                    <xdr:colOff>0</xdr:colOff>
                    <xdr:row>82</xdr:row>
                    <xdr:rowOff>0</xdr:rowOff>
                  </from>
                  <to>
                    <xdr:col>3</xdr:col>
                    <xdr:colOff>0</xdr:colOff>
                    <xdr:row>83</xdr:row>
                    <xdr:rowOff>0</xdr:rowOff>
                  </to>
                </anchor>
              </controlPr>
            </control>
          </mc:Choice>
        </mc:AlternateContent>
        <mc:AlternateContent xmlns:mc="http://schemas.openxmlformats.org/markup-compatibility/2006">
          <mc:Choice Requires="x14">
            <control shapeId="7181" r:id="rId16" name="Drop Down 13">
              <controlPr defaultSize="0" autoLine="0" autoPict="0">
                <anchor moveWithCells="1">
                  <from>
                    <xdr:col>2</xdr:col>
                    <xdr:colOff>0</xdr:colOff>
                    <xdr:row>219</xdr:row>
                    <xdr:rowOff>0</xdr:rowOff>
                  </from>
                  <to>
                    <xdr:col>3</xdr:col>
                    <xdr:colOff>0</xdr:colOff>
                    <xdr:row>220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7"/>
  <sheetViews>
    <sheetView topLeftCell="A7" workbookViewId="0">
      <pane ySplit="7155" topLeftCell="A93" activePane="bottomLeft"/>
      <selection activeCell="E16" sqref="E16"/>
      <selection pane="bottomLeft" activeCell="G104" sqref="G104"/>
    </sheetView>
  </sheetViews>
  <sheetFormatPr defaultColWidth="9.140625" defaultRowHeight="15" x14ac:dyDescent="0.25"/>
  <cols>
    <col min="1" max="1" width="9.140625" style="25"/>
    <col min="2" max="2" width="10.5703125" style="25" bestFit="1" customWidth="1"/>
    <col min="3" max="3" width="29.85546875" style="25" bestFit="1" customWidth="1"/>
    <col min="4" max="16384" width="9.140625" style="25"/>
  </cols>
  <sheetData>
    <row r="1" spans="1:4" x14ac:dyDescent="0.25">
      <c r="A1" s="25" t="s">
        <v>44</v>
      </c>
    </row>
    <row r="2" spans="1:4" x14ac:dyDescent="0.25">
      <c r="A2" s="25" t="s">
        <v>45</v>
      </c>
      <c r="B2" s="25" t="s">
        <v>46</v>
      </c>
      <c r="C2" s="25" t="s">
        <v>47</v>
      </c>
    </row>
    <row r="3" spans="1:4" x14ac:dyDescent="0.25">
      <c r="A3" s="25">
        <v>2012</v>
      </c>
      <c r="B3" s="25" t="s">
        <v>48</v>
      </c>
      <c r="C3" s="26">
        <v>14.4</v>
      </c>
    </row>
    <row r="4" spans="1:4" x14ac:dyDescent="0.25">
      <c r="A4" s="25">
        <v>2012</v>
      </c>
      <c r="B4" s="25" t="s">
        <v>49</v>
      </c>
      <c r="C4" s="26">
        <v>11.5</v>
      </c>
    </row>
    <row r="5" spans="1:4" x14ac:dyDescent="0.25">
      <c r="A5" s="25">
        <v>2012</v>
      </c>
      <c r="B5" s="25" t="s">
        <v>50</v>
      </c>
      <c r="C5" s="26">
        <v>61.8</v>
      </c>
    </row>
    <row r="6" spans="1:4" x14ac:dyDescent="0.25">
      <c r="A6" s="25">
        <v>2012</v>
      </c>
      <c r="B6" s="25" t="s">
        <v>51</v>
      </c>
      <c r="C6" s="26">
        <v>37.450000000000003</v>
      </c>
    </row>
    <row r="7" spans="1:4" x14ac:dyDescent="0.25">
      <c r="A7" s="25">
        <v>2012</v>
      </c>
      <c r="B7" s="25" t="s">
        <v>52</v>
      </c>
      <c r="C7" s="26">
        <v>94.5</v>
      </c>
    </row>
    <row r="8" spans="1:4" x14ac:dyDescent="0.25">
      <c r="A8" s="25">
        <v>2012</v>
      </c>
      <c r="B8" s="25" t="s">
        <v>53</v>
      </c>
      <c r="C8" s="26">
        <v>104.25</v>
      </c>
    </row>
    <row r="9" spans="1:4" x14ac:dyDescent="0.25">
      <c r="A9" s="25">
        <v>2012</v>
      </c>
      <c r="B9" s="25" t="s">
        <v>54</v>
      </c>
      <c r="C9" s="26">
        <v>82.2</v>
      </c>
      <c r="D9" s="25">
        <f>AVERAGE(C3:C8)</f>
        <v>53.983333333333327</v>
      </c>
    </row>
    <row r="10" spans="1:4" x14ac:dyDescent="0.25">
      <c r="A10" s="25">
        <v>2012</v>
      </c>
      <c r="B10" s="25" t="s">
        <v>55</v>
      </c>
      <c r="C10" s="26">
        <v>74.45</v>
      </c>
      <c r="D10" s="25">
        <f t="shared" ref="D10:D73" si="0">AVERAGE(C4:C9)</f>
        <v>65.283333333333331</v>
      </c>
    </row>
    <row r="11" spans="1:4" x14ac:dyDescent="0.25">
      <c r="A11" s="25">
        <v>2012</v>
      </c>
      <c r="B11" s="25" t="s">
        <v>56</v>
      </c>
      <c r="C11" s="26">
        <v>54.25</v>
      </c>
      <c r="D11" s="25">
        <f t="shared" si="0"/>
        <v>75.774999999999991</v>
      </c>
    </row>
    <row r="12" spans="1:4" x14ac:dyDescent="0.25">
      <c r="A12" s="25">
        <v>2012</v>
      </c>
      <c r="B12" s="25" t="s">
        <v>57</v>
      </c>
      <c r="C12" s="26">
        <v>40.200000000000003</v>
      </c>
      <c r="D12" s="25">
        <f t="shared" si="0"/>
        <v>74.516666666666666</v>
      </c>
    </row>
    <row r="13" spans="1:4" x14ac:dyDescent="0.25">
      <c r="A13" s="25">
        <v>2012</v>
      </c>
      <c r="B13" s="25" t="s">
        <v>58</v>
      </c>
      <c r="C13" s="26">
        <v>17.600000000000001</v>
      </c>
      <c r="D13" s="25">
        <f t="shared" si="0"/>
        <v>74.974999999999994</v>
      </c>
    </row>
    <row r="14" spans="1:4" x14ac:dyDescent="0.25">
      <c r="A14" s="25">
        <v>2012</v>
      </c>
      <c r="B14" s="25" t="s">
        <v>59</v>
      </c>
      <c r="C14" s="26">
        <v>0.45</v>
      </c>
      <c r="D14" s="25">
        <f t="shared" si="0"/>
        <v>62.158333333333331</v>
      </c>
    </row>
    <row r="15" spans="1:4" x14ac:dyDescent="0.25">
      <c r="A15" s="25">
        <v>2013</v>
      </c>
      <c r="B15" s="25" t="s">
        <v>48</v>
      </c>
      <c r="C15" s="26">
        <v>4.75</v>
      </c>
      <c r="D15" s="25">
        <f t="shared" si="0"/>
        <v>44.858333333333341</v>
      </c>
    </row>
    <row r="16" spans="1:4" x14ac:dyDescent="0.25">
      <c r="A16" s="25">
        <v>2013</v>
      </c>
      <c r="B16" s="25" t="s">
        <v>49</v>
      </c>
      <c r="C16" s="26">
        <v>19.7</v>
      </c>
      <c r="D16" s="25">
        <f t="shared" si="0"/>
        <v>31.949999999999992</v>
      </c>
    </row>
    <row r="17" spans="1:4" x14ac:dyDescent="0.25">
      <c r="A17" s="25">
        <v>2013</v>
      </c>
      <c r="B17" s="25" t="s">
        <v>50</v>
      </c>
      <c r="C17" s="26">
        <v>25.3</v>
      </c>
      <c r="D17" s="25">
        <f t="shared" si="0"/>
        <v>22.825000000000003</v>
      </c>
    </row>
    <row r="18" spans="1:4" x14ac:dyDescent="0.25">
      <c r="A18" s="25">
        <v>2013</v>
      </c>
      <c r="B18" s="25" t="s">
        <v>51</v>
      </c>
      <c r="C18" s="26">
        <v>22.25</v>
      </c>
      <c r="D18" s="25">
        <f t="shared" si="0"/>
        <v>18</v>
      </c>
    </row>
    <row r="19" spans="1:4" x14ac:dyDescent="0.25">
      <c r="A19" s="25">
        <v>2013</v>
      </c>
      <c r="B19" s="25" t="s">
        <v>52</v>
      </c>
      <c r="C19" s="26">
        <v>59.6</v>
      </c>
      <c r="D19" s="25">
        <f t="shared" si="0"/>
        <v>15.008333333333333</v>
      </c>
    </row>
    <row r="20" spans="1:4" x14ac:dyDescent="0.25">
      <c r="A20" s="25">
        <v>2013</v>
      </c>
      <c r="B20" s="25" t="s">
        <v>53</v>
      </c>
      <c r="C20" s="26">
        <v>83.5</v>
      </c>
      <c r="D20" s="25">
        <f t="shared" si="0"/>
        <v>22.008333333333336</v>
      </c>
    </row>
    <row r="21" spans="1:4" x14ac:dyDescent="0.25">
      <c r="A21" s="25">
        <v>2013</v>
      </c>
      <c r="B21" s="25" t="s">
        <v>54</v>
      </c>
      <c r="C21" s="26">
        <v>63.75</v>
      </c>
      <c r="D21" s="25">
        <f t="shared" si="0"/>
        <v>35.85</v>
      </c>
    </row>
    <row r="22" spans="1:4" x14ac:dyDescent="0.25">
      <c r="A22" s="25">
        <v>2013</v>
      </c>
      <c r="B22" s="25" t="s">
        <v>55</v>
      </c>
      <c r="C22" s="26">
        <v>56.55</v>
      </c>
      <c r="D22" s="25">
        <f t="shared" si="0"/>
        <v>45.683333333333337</v>
      </c>
    </row>
    <row r="23" spans="1:4" x14ac:dyDescent="0.25">
      <c r="A23" s="25">
        <v>2013</v>
      </c>
      <c r="B23" s="25" t="s">
        <v>56</v>
      </c>
      <c r="C23" s="26">
        <v>54.05</v>
      </c>
      <c r="D23" s="25">
        <f t="shared" si="0"/>
        <v>51.824999999999996</v>
      </c>
    </row>
    <row r="24" spans="1:4" x14ac:dyDescent="0.25">
      <c r="A24" s="25">
        <v>2013</v>
      </c>
      <c r="B24" s="25" t="s">
        <v>57</v>
      </c>
      <c r="C24" s="26">
        <v>34.6</v>
      </c>
      <c r="D24" s="25">
        <f t="shared" si="0"/>
        <v>56.616666666666667</v>
      </c>
    </row>
    <row r="25" spans="1:4" x14ac:dyDescent="0.25">
      <c r="A25" s="25">
        <v>2013</v>
      </c>
      <c r="B25" s="25" t="s">
        <v>58</v>
      </c>
      <c r="C25" s="26">
        <v>16.399999999999999</v>
      </c>
      <c r="D25" s="25">
        <f t="shared" si="0"/>
        <v>58.675000000000004</v>
      </c>
    </row>
    <row r="26" spans="1:4" x14ac:dyDescent="0.25">
      <c r="A26" s="25">
        <v>2013</v>
      </c>
      <c r="B26" s="25" t="s">
        <v>59</v>
      </c>
      <c r="C26" s="26">
        <v>2.85</v>
      </c>
      <c r="D26" s="25">
        <f t="shared" si="0"/>
        <v>51.475000000000001</v>
      </c>
    </row>
    <row r="27" spans="1:4" x14ac:dyDescent="0.25">
      <c r="A27" s="25">
        <v>2014</v>
      </c>
      <c r="B27" s="25" t="s">
        <v>48</v>
      </c>
      <c r="C27" s="26">
        <v>2.35</v>
      </c>
      <c r="D27" s="25">
        <f t="shared" si="0"/>
        <v>38.033333333333331</v>
      </c>
    </row>
    <row r="28" spans="1:4" x14ac:dyDescent="0.25">
      <c r="A28" s="25">
        <v>2014</v>
      </c>
      <c r="B28" s="25" t="s">
        <v>49</v>
      </c>
      <c r="C28" s="26">
        <v>11.75</v>
      </c>
      <c r="D28" s="25">
        <f t="shared" si="0"/>
        <v>27.799999999999997</v>
      </c>
    </row>
    <row r="29" spans="1:4" x14ac:dyDescent="0.25">
      <c r="A29" s="25">
        <v>2014</v>
      </c>
      <c r="B29" s="25" t="s">
        <v>50</v>
      </c>
      <c r="C29" s="26">
        <v>25.05</v>
      </c>
      <c r="D29" s="25">
        <f t="shared" si="0"/>
        <v>20.333333333333332</v>
      </c>
    </row>
    <row r="30" spans="1:4" x14ac:dyDescent="0.25">
      <c r="A30" s="25">
        <v>2014</v>
      </c>
      <c r="B30" s="25" t="s">
        <v>51</v>
      </c>
      <c r="C30" s="26">
        <v>45.4</v>
      </c>
      <c r="D30" s="25">
        <f t="shared" si="0"/>
        <v>15.5</v>
      </c>
    </row>
    <row r="31" spans="1:4" x14ac:dyDescent="0.25">
      <c r="A31" s="25">
        <v>2014</v>
      </c>
      <c r="B31" s="25" t="s">
        <v>52</v>
      </c>
      <c r="C31" s="26">
        <v>61.5</v>
      </c>
      <c r="D31" s="25">
        <f t="shared" si="0"/>
        <v>17.3</v>
      </c>
    </row>
    <row r="32" spans="1:4" x14ac:dyDescent="0.25">
      <c r="A32" s="25">
        <v>2014</v>
      </c>
      <c r="B32" s="25" t="s">
        <v>53</v>
      </c>
      <c r="C32" s="26">
        <v>83.9</v>
      </c>
      <c r="D32" s="25">
        <f t="shared" si="0"/>
        <v>24.816666666666666</v>
      </c>
    </row>
    <row r="33" spans="1:4" x14ac:dyDescent="0.25">
      <c r="A33" s="25">
        <v>2014</v>
      </c>
      <c r="B33" s="25" t="s">
        <v>54</v>
      </c>
      <c r="C33" s="26">
        <v>52.4</v>
      </c>
      <c r="D33" s="25">
        <f t="shared" si="0"/>
        <v>38.325000000000003</v>
      </c>
    </row>
    <row r="34" spans="1:4" x14ac:dyDescent="0.25">
      <c r="A34" s="25">
        <v>2014</v>
      </c>
      <c r="B34" s="25" t="s">
        <v>55</v>
      </c>
      <c r="C34" s="26">
        <v>57.6</v>
      </c>
      <c r="D34" s="25">
        <f t="shared" si="0"/>
        <v>46.666666666666664</v>
      </c>
    </row>
    <row r="35" spans="1:4" x14ac:dyDescent="0.25">
      <c r="A35" s="25">
        <v>2014</v>
      </c>
      <c r="B35" s="25" t="s">
        <v>56</v>
      </c>
      <c r="C35" s="26">
        <v>63.85</v>
      </c>
      <c r="D35" s="25">
        <f t="shared" si="0"/>
        <v>54.308333333333337</v>
      </c>
    </row>
    <row r="36" spans="1:4" x14ac:dyDescent="0.25">
      <c r="A36" s="25">
        <v>2014</v>
      </c>
      <c r="B36" s="25" t="s">
        <v>57</v>
      </c>
      <c r="C36" s="26">
        <v>30.9</v>
      </c>
      <c r="D36" s="25">
        <f t="shared" si="0"/>
        <v>60.775000000000006</v>
      </c>
    </row>
    <row r="37" spans="1:4" x14ac:dyDescent="0.25">
      <c r="A37" s="25">
        <v>2014</v>
      </c>
      <c r="B37" s="25" t="s">
        <v>58</v>
      </c>
      <c r="C37" s="26">
        <v>34.299999999999997</v>
      </c>
      <c r="D37" s="25">
        <f t="shared" si="0"/>
        <v>58.358333333333327</v>
      </c>
    </row>
    <row r="38" spans="1:4" x14ac:dyDescent="0.25">
      <c r="A38" s="25">
        <v>2014</v>
      </c>
      <c r="B38" s="25" t="s">
        <v>59</v>
      </c>
      <c r="C38" s="26">
        <v>2</v>
      </c>
      <c r="D38" s="25">
        <f t="shared" si="0"/>
        <v>53.824999999999996</v>
      </c>
    </row>
    <row r="39" spans="1:4" x14ac:dyDescent="0.25">
      <c r="A39" s="25">
        <v>2015</v>
      </c>
      <c r="B39" s="25" t="s">
        <v>48</v>
      </c>
      <c r="C39" s="26">
        <v>3.55</v>
      </c>
      <c r="D39" s="25">
        <f t="shared" si="0"/>
        <v>40.175000000000004</v>
      </c>
    </row>
    <row r="40" spans="1:4" x14ac:dyDescent="0.25">
      <c r="A40" s="25">
        <v>2015</v>
      </c>
      <c r="B40" s="25" t="s">
        <v>49</v>
      </c>
      <c r="C40" s="26">
        <v>5.15</v>
      </c>
      <c r="D40" s="25">
        <f t="shared" si="0"/>
        <v>32.033333333333331</v>
      </c>
    </row>
    <row r="41" spans="1:4" x14ac:dyDescent="0.25">
      <c r="A41" s="25">
        <v>2015</v>
      </c>
      <c r="B41" s="25" t="s">
        <v>50</v>
      </c>
      <c r="C41" s="26">
        <v>28.55</v>
      </c>
      <c r="D41" s="25">
        <f t="shared" si="0"/>
        <v>23.291666666666671</v>
      </c>
    </row>
    <row r="42" spans="1:4" x14ac:dyDescent="0.25">
      <c r="A42" s="25">
        <v>2015</v>
      </c>
      <c r="B42" s="25" t="s">
        <v>51</v>
      </c>
      <c r="C42" s="26">
        <v>37.35</v>
      </c>
      <c r="D42" s="25">
        <f t="shared" si="0"/>
        <v>17.408333333333331</v>
      </c>
    </row>
    <row r="43" spans="1:4" x14ac:dyDescent="0.25">
      <c r="A43" s="25">
        <v>2015</v>
      </c>
      <c r="B43" s="25" t="s">
        <v>52</v>
      </c>
      <c r="C43" s="26">
        <v>48.45</v>
      </c>
      <c r="D43" s="25">
        <f t="shared" si="0"/>
        <v>18.483333333333334</v>
      </c>
    </row>
    <row r="44" spans="1:4" x14ac:dyDescent="0.25">
      <c r="A44" s="25">
        <v>2015</v>
      </c>
      <c r="B44" s="25" t="s">
        <v>53</v>
      </c>
      <c r="C44" s="26">
        <v>64.099999999999994</v>
      </c>
      <c r="D44" s="25">
        <f t="shared" si="0"/>
        <v>20.841666666666665</v>
      </c>
    </row>
    <row r="45" spans="1:4" x14ac:dyDescent="0.25">
      <c r="A45" s="25">
        <v>2015</v>
      </c>
      <c r="B45" s="25" t="s">
        <v>54</v>
      </c>
      <c r="C45" s="26">
        <v>48.9</v>
      </c>
      <c r="D45" s="25">
        <f t="shared" si="0"/>
        <v>31.191666666666663</v>
      </c>
    </row>
    <row r="46" spans="1:4" x14ac:dyDescent="0.25">
      <c r="A46" s="25">
        <v>2015</v>
      </c>
      <c r="B46" s="25" t="s">
        <v>55</v>
      </c>
      <c r="C46" s="26">
        <v>63.75</v>
      </c>
      <c r="D46" s="25">
        <f t="shared" si="0"/>
        <v>38.750000000000007</v>
      </c>
    </row>
    <row r="47" spans="1:4" x14ac:dyDescent="0.25">
      <c r="A47" s="25">
        <v>2015</v>
      </c>
      <c r="B47" s="25" t="s">
        <v>56</v>
      </c>
      <c r="C47" s="26">
        <v>52.6</v>
      </c>
      <c r="D47" s="25">
        <f t="shared" si="0"/>
        <v>48.516666666666673</v>
      </c>
    </row>
    <row r="48" spans="1:4" x14ac:dyDescent="0.25">
      <c r="A48" s="25">
        <v>2015</v>
      </c>
      <c r="B48" s="25" t="s">
        <v>57</v>
      </c>
      <c r="C48" s="26">
        <v>56.2</v>
      </c>
      <c r="D48" s="25">
        <f t="shared" si="0"/>
        <v>52.525000000000006</v>
      </c>
    </row>
    <row r="49" spans="1:4" x14ac:dyDescent="0.25">
      <c r="A49" s="25">
        <v>2015</v>
      </c>
      <c r="B49" s="25" t="s">
        <v>58</v>
      </c>
      <c r="C49" s="26">
        <v>24.85</v>
      </c>
      <c r="D49" s="25">
        <f t="shared" si="0"/>
        <v>55.666666666666664</v>
      </c>
    </row>
    <row r="50" spans="1:4" x14ac:dyDescent="0.25">
      <c r="A50" s="25">
        <v>2015</v>
      </c>
      <c r="B50" s="25" t="s">
        <v>59</v>
      </c>
      <c r="C50" s="26">
        <v>1.5</v>
      </c>
      <c r="D50" s="25">
        <f t="shared" si="0"/>
        <v>51.733333333333341</v>
      </c>
    </row>
    <row r="51" spans="1:4" x14ac:dyDescent="0.25">
      <c r="A51" s="25">
        <v>2016</v>
      </c>
      <c r="B51" s="25" t="s">
        <v>48</v>
      </c>
      <c r="C51" s="26">
        <v>2.65</v>
      </c>
      <c r="D51" s="25">
        <f t="shared" si="0"/>
        <v>41.3</v>
      </c>
    </row>
    <row r="52" spans="1:4" x14ac:dyDescent="0.25">
      <c r="A52" s="25">
        <v>2016</v>
      </c>
      <c r="B52" s="25" t="s">
        <v>49</v>
      </c>
      <c r="C52" s="26">
        <v>9.15</v>
      </c>
      <c r="D52" s="25">
        <f t="shared" si="0"/>
        <v>33.591666666666669</v>
      </c>
    </row>
    <row r="53" spans="1:4" x14ac:dyDescent="0.25">
      <c r="A53" s="25">
        <v>2016</v>
      </c>
      <c r="B53" s="25" t="s">
        <v>50</v>
      </c>
      <c r="C53" s="26">
        <v>52.15</v>
      </c>
      <c r="D53" s="25">
        <f t="shared" si="0"/>
        <v>24.491666666666671</v>
      </c>
    </row>
    <row r="54" spans="1:4" x14ac:dyDescent="0.25">
      <c r="A54" s="25">
        <v>2016</v>
      </c>
      <c r="B54" s="25" t="s">
        <v>51</v>
      </c>
      <c r="C54" s="26">
        <v>82.9</v>
      </c>
      <c r="D54" s="25">
        <f t="shared" si="0"/>
        <v>24.416666666666671</v>
      </c>
    </row>
    <row r="55" spans="1:4" x14ac:dyDescent="0.25">
      <c r="A55" s="25">
        <v>2016</v>
      </c>
      <c r="B55" s="25" t="s">
        <v>52</v>
      </c>
      <c r="C55" s="26">
        <v>65.55</v>
      </c>
      <c r="D55" s="25">
        <f t="shared" si="0"/>
        <v>28.866666666666664</v>
      </c>
    </row>
    <row r="56" spans="1:4" x14ac:dyDescent="0.25">
      <c r="A56" s="25">
        <v>2016</v>
      </c>
      <c r="B56" s="25" t="s">
        <v>53</v>
      </c>
      <c r="C56" s="26">
        <v>55.05</v>
      </c>
      <c r="D56" s="25">
        <f t="shared" si="0"/>
        <v>35.650000000000006</v>
      </c>
    </row>
    <row r="57" spans="1:4" x14ac:dyDescent="0.25">
      <c r="A57" s="25">
        <v>2016</v>
      </c>
      <c r="B57" s="25" t="s">
        <v>54</v>
      </c>
      <c r="C57" s="26">
        <v>54.25</v>
      </c>
      <c r="D57" s="25">
        <f t="shared" si="0"/>
        <v>44.57500000000001</v>
      </c>
    </row>
    <row r="58" spans="1:4" x14ac:dyDescent="0.25">
      <c r="A58" s="25">
        <v>2016</v>
      </c>
      <c r="B58" s="25" t="s">
        <v>55</v>
      </c>
      <c r="C58" s="26">
        <v>86.7</v>
      </c>
      <c r="D58" s="25">
        <f t="shared" si="0"/>
        <v>53.175000000000004</v>
      </c>
    </row>
    <row r="59" spans="1:4" x14ac:dyDescent="0.25">
      <c r="A59" s="25">
        <v>2016</v>
      </c>
      <c r="B59" s="25" t="s">
        <v>56</v>
      </c>
      <c r="C59" s="26">
        <v>65.45</v>
      </c>
      <c r="D59" s="25">
        <f t="shared" si="0"/>
        <v>66.100000000000009</v>
      </c>
    </row>
    <row r="60" spans="1:4" x14ac:dyDescent="0.25">
      <c r="A60" s="25">
        <v>2016</v>
      </c>
      <c r="B60" s="25" t="s">
        <v>57</v>
      </c>
      <c r="C60" s="26">
        <v>41.05</v>
      </c>
      <c r="D60" s="25">
        <f t="shared" si="0"/>
        <v>68.316666666666663</v>
      </c>
    </row>
    <row r="61" spans="1:4" x14ac:dyDescent="0.25">
      <c r="A61" s="25">
        <v>2016</v>
      </c>
      <c r="B61" s="25" t="s">
        <v>58</v>
      </c>
      <c r="C61" s="26">
        <v>18.649999999999999</v>
      </c>
      <c r="D61" s="25">
        <f t="shared" si="0"/>
        <v>61.341666666666669</v>
      </c>
    </row>
    <row r="62" spans="1:4" x14ac:dyDescent="0.25">
      <c r="A62" s="25">
        <v>2016</v>
      </c>
      <c r="B62" s="25" t="s">
        <v>59</v>
      </c>
      <c r="C62" s="26">
        <v>16.05</v>
      </c>
      <c r="D62" s="25">
        <f t="shared" si="0"/>
        <v>53.524999999999999</v>
      </c>
    </row>
    <row r="63" spans="1:4" x14ac:dyDescent="0.25">
      <c r="A63" s="25">
        <v>2017</v>
      </c>
      <c r="B63" s="25" t="s">
        <v>48</v>
      </c>
      <c r="C63" s="26">
        <v>5.9</v>
      </c>
      <c r="D63" s="25">
        <f t="shared" si="0"/>
        <v>47.024999999999999</v>
      </c>
    </row>
    <row r="64" spans="1:4" x14ac:dyDescent="0.25">
      <c r="A64" s="25">
        <v>2017</v>
      </c>
      <c r="B64" s="25" t="s">
        <v>49</v>
      </c>
      <c r="C64" s="26">
        <v>9.6999999999999993</v>
      </c>
      <c r="D64" s="25">
        <f t="shared" si="0"/>
        <v>38.966666666666669</v>
      </c>
    </row>
    <row r="65" spans="1:4" x14ac:dyDescent="0.25">
      <c r="A65" s="25">
        <v>2017</v>
      </c>
      <c r="B65" s="25" t="s">
        <v>50</v>
      </c>
      <c r="C65" s="26">
        <v>23.1</v>
      </c>
      <c r="D65" s="25">
        <f t="shared" si="0"/>
        <v>26.133333333333336</v>
      </c>
    </row>
    <row r="66" spans="1:4" x14ac:dyDescent="0.25">
      <c r="A66" s="25">
        <v>2017</v>
      </c>
      <c r="B66" s="25" t="s">
        <v>51</v>
      </c>
      <c r="C66" s="26">
        <v>39.5</v>
      </c>
      <c r="D66" s="25">
        <f t="shared" si="0"/>
        <v>19.075000000000003</v>
      </c>
    </row>
    <row r="67" spans="1:4" x14ac:dyDescent="0.25">
      <c r="A67" s="25">
        <v>2017</v>
      </c>
      <c r="B67" s="25" t="s">
        <v>52</v>
      </c>
      <c r="C67" s="26">
        <v>70.2</v>
      </c>
      <c r="D67" s="25">
        <f t="shared" si="0"/>
        <v>18.816666666666666</v>
      </c>
    </row>
    <row r="68" spans="1:4" x14ac:dyDescent="0.25">
      <c r="A68" s="25">
        <v>2017</v>
      </c>
      <c r="B68" s="25" t="s">
        <v>53</v>
      </c>
      <c r="C68" s="26">
        <v>68.05</v>
      </c>
      <c r="D68" s="25">
        <f t="shared" si="0"/>
        <v>27.408333333333331</v>
      </c>
    </row>
    <row r="69" spans="1:4" x14ac:dyDescent="0.25">
      <c r="A69" s="25">
        <v>2017</v>
      </c>
      <c r="B69" s="25" t="s">
        <v>54</v>
      </c>
      <c r="C69" s="26">
        <v>63.3</v>
      </c>
      <c r="D69" s="25">
        <f t="shared" si="0"/>
        <v>36.074999999999996</v>
      </c>
    </row>
    <row r="70" spans="1:4" x14ac:dyDescent="0.25">
      <c r="A70" s="25">
        <v>2017</v>
      </c>
      <c r="B70" s="25" t="s">
        <v>55</v>
      </c>
      <c r="C70" s="26">
        <v>65.75</v>
      </c>
      <c r="D70" s="25">
        <f t="shared" si="0"/>
        <v>45.641666666666673</v>
      </c>
    </row>
    <row r="71" spans="1:4" x14ac:dyDescent="0.25">
      <c r="A71" s="25">
        <v>2017</v>
      </c>
      <c r="B71" s="25" t="s">
        <v>56</v>
      </c>
      <c r="C71" s="26">
        <v>59.8</v>
      </c>
      <c r="D71" s="25">
        <f t="shared" si="0"/>
        <v>54.983333333333341</v>
      </c>
    </row>
    <row r="72" spans="1:4" x14ac:dyDescent="0.25">
      <c r="A72" s="25">
        <v>2017</v>
      </c>
      <c r="B72" s="25" t="s">
        <v>57</v>
      </c>
      <c r="C72" s="26">
        <v>45.7</v>
      </c>
      <c r="D72" s="25">
        <f t="shared" si="0"/>
        <v>61.1</v>
      </c>
    </row>
    <row r="73" spans="1:4" x14ac:dyDescent="0.25">
      <c r="A73" s="25">
        <v>2017</v>
      </c>
      <c r="B73" s="25" t="s">
        <v>58</v>
      </c>
      <c r="C73" s="26">
        <v>1.7</v>
      </c>
      <c r="D73" s="25">
        <f t="shared" si="0"/>
        <v>62.133333333333333</v>
      </c>
    </row>
    <row r="74" spans="1:4" x14ac:dyDescent="0.25">
      <c r="A74" s="25">
        <v>2017</v>
      </c>
      <c r="B74" s="25" t="s">
        <v>59</v>
      </c>
      <c r="C74" s="26">
        <v>0.5</v>
      </c>
      <c r="D74" s="25">
        <f t="shared" ref="D74:D106" si="1">AVERAGE(C68:C73)</f>
        <v>50.716666666666661</v>
      </c>
    </row>
    <row r="75" spans="1:4" x14ac:dyDescent="0.25">
      <c r="A75" s="25">
        <v>2018</v>
      </c>
      <c r="B75" s="25" t="s">
        <v>48</v>
      </c>
      <c r="C75" s="26">
        <v>5.6</v>
      </c>
      <c r="D75" s="25">
        <f t="shared" si="1"/>
        <v>39.458333333333336</v>
      </c>
    </row>
    <row r="76" spans="1:4" x14ac:dyDescent="0.25">
      <c r="A76" s="25">
        <v>2018</v>
      </c>
      <c r="B76" s="25" t="s">
        <v>49</v>
      </c>
      <c r="C76" s="26">
        <v>51.25</v>
      </c>
      <c r="D76" s="25">
        <f t="shared" si="1"/>
        <v>29.841666666666665</v>
      </c>
    </row>
    <row r="77" spans="1:4" x14ac:dyDescent="0.25">
      <c r="A77" s="25">
        <v>2018</v>
      </c>
      <c r="B77" s="25" t="s">
        <v>50</v>
      </c>
      <c r="C77" s="26">
        <v>68.8</v>
      </c>
      <c r="D77" s="25">
        <f t="shared" si="1"/>
        <v>27.425000000000001</v>
      </c>
    </row>
    <row r="78" spans="1:4" x14ac:dyDescent="0.25">
      <c r="A78" s="25">
        <v>2018</v>
      </c>
      <c r="B78" s="25" t="s">
        <v>51</v>
      </c>
      <c r="C78" s="26">
        <v>137.25</v>
      </c>
      <c r="D78" s="25">
        <f t="shared" si="1"/>
        <v>28.925000000000001</v>
      </c>
    </row>
    <row r="79" spans="1:4" x14ac:dyDescent="0.25">
      <c r="A79" s="25">
        <v>2018</v>
      </c>
      <c r="B79" s="25" t="s">
        <v>52</v>
      </c>
      <c r="C79" s="26">
        <v>118.9</v>
      </c>
      <c r="D79" s="25">
        <f t="shared" si="1"/>
        <v>44.183333333333337</v>
      </c>
    </row>
    <row r="80" spans="1:4" x14ac:dyDescent="0.25">
      <c r="A80" s="25">
        <v>2018</v>
      </c>
      <c r="B80" s="25" t="s">
        <v>53</v>
      </c>
      <c r="C80" s="26">
        <v>68.75</v>
      </c>
      <c r="D80" s="25">
        <f t="shared" si="1"/>
        <v>63.716666666666661</v>
      </c>
    </row>
    <row r="81" spans="1:4" x14ac:dyDescent="0.25">
      <c r="A81" s="25">
        <v>2018</v>
      </c>
      <c r="B81" s="25" t="s">
        <v>54</v>
      </c>
      <c r="C81" s="26">
        <v>66.75</v>
      </c>
      <c r="D81" s="25">
        <f t="shared" si="1"/>
        <v>75.091666666666654</v>
      </c>
    </row>
    <row r="82" spans="1:4" x14ac:dyDescent="0.25">
      <c r="A82" s="25">
        <v>2018</v>
      </c>
      <c r="B82" s="25" t="s">
        <v>55</v>
      </c>
      <c r="C82" s="26">
        <v>74.849999999999994</v>
      </c>
      <c r="D82" s="25">
        <f t="shared" si="1"/>
        <v>85.283333333333346</v>
      </c>
    </row>
    <row r="83" spans="1:4" x14ac:dyDescent="0.25">
      <c r="A83" s="25">
        <v>2018</v>
      </c>
      <c r="B83" s="25" t="s">
        <v>56</v>
      </c>
      <c r="C83" s="26">
        <v>72.099999999999994</v>
      </c>
      <c r="D83" s="25">
        <f t="shared" si="1"/>
        <v>89.216666666666683</v>
      </c>
    </row>
    <row r="84" spans="1:4" x14ac:dyDescent="0.25">
      <c r="A84" s="25">
        <v>2018</v>
      </c>
      <c r="B84" s="25" t="s">
        <v>57</v>
      </c>
      <c r="C84" s="26">
        <v>63.05</v>
      </c>
      <c r="D84" s="25">
        <f t="shared" si="1"/>
        <v>89.766666666666666</v>
      </c>
    </row>
    <row r="85" spans="1:4" x14ac:dyDescent="0.25">
      <c r="A85" s="25">
        <v>2018</v>
      </c>
      <c r="B85" s="25" t="s">
        <v>58</v>
      </c>
      <c r="C85" s="26">
        <v>20.95</v>
      </c>
      <c r="D85" s="25">
        <f t="shared" si="1"/>
        <v>77.400000000000006</v>
      </c>
    </row>
    <row r="86" spans="1:4" x14ac:dyDescent="0.25">
      <c r="A86" s="25">
        <v>2018</v>
      </c>
      <c r="B86" s="25" t="s">
        <v>59</v>
      </c>
      <c r="C86" s="26">
        <v>0.15</v>
      </c>
      <c r="D86" s="25">
        <f t="shared" si="1"/>
        <v>61.074999999999996</v>
      </c>
    </row>
    <row r="87" spans="1:4" x14ac:dyDescent="0.25">
      <c r="A87" s="25">
        <v>2019</v>
      </c>
      <c r="B87" s="25" t="s">
        <v>48</v>
      </c>
      <c r="C87" s="26">
        <v>6.75</v>
      </c>
      <c r="D87" s="25">
        <f t="shared" si="1"/>
        <v>49.641666666666659</v>
      </c>
    </row>
    <row r="88" spans="1:4" x14ac:dyDescent="0.25">
      <c r="A88" s="25">
        <v>2019</v>
      </c>
      <c r="B88" s="25" t="s">
        <v>49</v>
      </c>
      <c r="C88" s="26">
        <v>8.6999999999999993</v>
      </c>
      <c r="D88" s="25">
        <f t="shared" si="1"/>
        <v>39.641666666666666</v>
      </c>
    </row>
    <row r="89" spans="1:4" x14ac:dyDescent="0.25">
      <c r="A89" s="25">
        <v>2019</v>
      </c>
      <c r="B89" s="25" t="s">
        <v>50</v>
      </c>
      <c r="C89" s="26">
        <v>33.6</v>
      </c>
      <c r="D89" s="25">
        <f t="shared" si="1"/>
        <v>28.61666666666666</v>
      </c>
    </row>
    <row r="90" spans="1:4" x14ac:dyDescent="0.25">
      <c r="A90" s="25">
        <v>2019</v>
      </c>
      <c r="B90" s="25" t="s">
        <v>51</v>
      </c>
      <c r="C90" s="26">
        <v>69.2</v>
      </c>
      <c r="D90" s="25">
        <f t="shared" si="1"/>
        <v>22.200000000000003</v>
      </c>
    </row>
    <row r="91" spans="1:4" x14ac:dyDescent="0.25">
      <c r="A91" s="25">
        <v>2019</v>
      </c>
      <c r="B91" s="25" t="s">
        <v>52</v>
      </c>
      <c r="C91" s="26">
        <v>57.8</v>
      </c>
      <c r="D91" s="25">
        <f t="shared" si="1"/>
        <v>23.225000000000005</v>
      </c>
    </row>
    <row r="92" spans="1:4" x14ac:dyDescent="0.25">
      <c r="A92" s="25">
        <v>2019</v>
      </c>
      <c r="B92" s="25" t="s">
        <v>53</v>
      </c>
      <c r="C92" s="26">
        <v>69.75</v>
      </c>
      <c r="D92" s="25">
        <f t="shared" si="1"/>
        <v>29.366666666666664</v>
      </c>
    </row>
    <row r="93" spans="1:4" x14ac:dyDescent="0.25">
      <c r="A93" s="25">
        <v>2019</v>
      </c>
      <c r="B93" s="25" t="s">
        <v>54</v>
      </c>
      <c r="C93" s="26">
        <v>52</v>
      </c>
      <c r="D93" s="25">
        <f t="shared" si="1"/>
        <v>40.966666666666669</v>
      </c>
    </row>
    <row r="94" spans="1:4" x14ac:dyDescent="0.25">
      <c r="A94" s="25">
        <v>2019</v>
      </c>
      <c r="B94" s="25" t="s">
        <v>55</v>
      </c>
      <c r="C94" s="26">
        <v>57.45</v>
      </c>
      <c r="D94" s="25">
        <f t="shared" si="1"/>
        <v>48.508333333333333</v>
      </c>
    </row>
    <row r="95" spans="1:4" x14ac:dyDescent="0.25">
      <c r="A95" s="25">
        <v>2019</v>
      </c>
      <c r="B95" s="25" t="s">
        <v>56</v>
      </c>
      <c r="C95" s="26">
        <v>60.2</v>
      </c>
      <c r="D95" s="25">
        <f t="shared" si="1"/>
        <v>56.633333333333333</v>
      </c>
    </row>
    <row r="96" spans="1:4" x14ac:dyDescent="0.25">
      <c r="A96" s="25">
        <v>2019</v>
      </c>
      <c r="B96" s="25" t="s">
        <v>57</v>
      </c>
      <c r="C96" s="26">
        <v>57.8</v>
      </c>
      <c r="D96" s="25">
        <f t="shared" si="1"/>
        <v>61.066666666666663</v>
      </c>
    </row>
    <row r="97" spans="1:4" x14ac:dyDescent="0.25">
      <c r="A97" s="25">
        <v>2019</v>
      </c>
      <c r="B97" s="25" t="s">
        <v>58</v>
      </c>
      <c r="C97" s="26">
        <v>11.3</v>
      </c>
      <c r="D97" s="25">
        <f t="shared" si="1"/>
        <v>59.166666666666664</v>
      </c>
    </row>
    <row r="98" spans="1:4" x14ac:dyDescent="0.25">
      <c r="A98" s="25">
        <v>2019</v>
      </c>
      <c r="B98" s="25" t="s">
        <v>59</v>
      </c>
      <c r="C98" s="26">
        <v>1.35</v>
      </c>
      <c r="D98" s="25">
        <f t="shared" si="1"/>
        <v>51.416666666666664</v>
      </c>
    </row>
    <row r="99" spans="1:4" x14ac:dyDescent="0.25">
      <c r="A99" s="25">
        <v>2020</v>
      </c>
      <c r="B99" s="25" t="s">
        <v>48</v>
      </c>
      <c r="C99" s="26">
        <v>17.899999999999999</v>
      </c>
      <c r="D99" s="25">
        <f t="shared" si="1"/>
        <v>40.016666666666666</v>
      </c>
    </row>
    <row r="100" spans="1:4" x14ac:dyDescent="0.25">
      <c r="A100" s="25">
        <v>2020</v>
      </c>
      <c r="B100" s="25" t="s">
        <v>49</v>
      </c>
      <c r="C100" s="26">
        <v>8.3000000000000007</v>
      </c>
      <c r="D100" s="25">
        <f t="shared" si="1"/>
        <v>34.333333333333336</v>
      </c>
    </row>
    <row r="101" spans="1:4" x14ac:dyDescent="0.25">
      <c r="A101" s="25">
        <v>2020</v>
      </c>
      <c r="B101" s="25" t="s">
        <v>50</v>
      </c>
      <c r="C101" s="26">
        <v>71.099999999999994</v>
      </c>
      <c r="D101" s="25">
        <f t="shared" si="1"/>
        <v>26.141666666666669</v>
      </c>
    </row>
    <row r="102" spans="1:4" x14ac:dyDescent="0.25">
      <c r="A102" s="25">
        <v>2020</v>
      </c>
      <c r="B102" s="25" t="s">
        <v>51</v>
      </c>
      <c r="C102" s="26">
        <v>68.599999999999994</v>
      </c>
      <c r="D102" s="25">
        <f t="shared" si="1"/>
        <v>27.958333333333332</v>
      </c>
    </row>
    <row r="103" spans="1:4" x14ac:dyDescent="0.25">
      <c r="A103" s="25">
        <v>2020</v>
      </c>
      <c r="B103" s="25" t="s">
        <v>52</v>
      </c>
      <c r="C103" s="26">
        <v>61.3</v>
      </c>
      <c r="D103" s="25">
        <f t="shared" si="1"/>
        <v>29.758333333333329</v>
      </c>
    </row>
    <row r="104" spans="1:4" x14ac:dyDescent="0.25">
      <c r="A104" s="25">
        <v>2020</v>
      </c>
      <c r="B104" s="25" t="s">
        <v>53</v>
      </c>
      <c r="C104" s="26">
        <v>76.650000000000006</v>
      </c>
      <c r="D104" s="25">
        <f t="shared" si="1"/>
        <v>38.091666666666669</v>
      </c>
    </row>
    <row r="105" spans="1:4" x14ac:dyDescent="0.25">
      <c r="A105" s="25">
        <v>2020</v>
      </c>
      <c r="B105" s="25" t="s">
        <v>54</v>
      </c>
      <c r="C105" s="26">
        <v>53.75</v>
      </c>
      <c r="D105" s="25">
        <f t="shared" si="1"/>
        <v>50.641666666666673</v>
      </c>
    </row>
    <row r="106" spans="1:4" x14ac:dyDescent="0.25">
      <c r="A106" s="25">
        <v>2020</v>
      </c>
      <c r="B106" s="25" t="s">
        <v>55</v>
      </c>
      <c r="C106" s="26">
        <v>59.25</v>
      </c>
      <c r="D106" s="25">
        <f t="shared" si="1"/>
        <v>56.616666666666674</v>
      </c>
    </row>
    <row r="107" spans="1:4" x14ac:dyDescent="0.25">
      <c r="C107" s="25">
        <f>AVERAGE(C3:C106)</f>
        <v>44.194711538461547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7"/>
  <sheetViews>
    <sheetView workbookViewId="0">
      <pane ySplit="5955" topLeftCell="A93" activePane="bottomLeft"/>
      <selection activeCell="E17" sqref="E17"/>
      <selection pane="bottomLeft" activeCell="K107" sqref="K107"/>
    </sheetView>
  </sheetViews>
  <sheetFormatPr defaultColWidth="9.140625" defaultRowHeight="15" x14ac:dyDescent="0.25"/>
  <cols>
    <col min="1" max="1" width="9.140625" style="25"/>
    <col min="2" max="2" width="10.5703125" style="25" bestFit="1" customWidth="1"/>
    <col min="3" max="3" width="29.85546875" style="25" bestFit="1" customWidth="1"/>
    <col min="4" max="4" width="29.85546875" style="25" customWidth="1"/>
    <col min="5" max="5" width="11.42578125" style="25" bestFit="1" customWidth="1"/>
    <col min="6" max="9" width="9.140625" style="25"/>
    <col min="10" max="10" width="12.140625" style="25" bestFit="1" customWidth="1"/>
    <col min="11" max="16384" width="9.140625" style="25"/>
  </cols>
  <sheetData>
    <row r="1" spans="1:12" x14ac:dyDescent="0.25">
      <c r="A1" s="25" t="s">
        <v>44</v>
      </c>
    </row>
    <row r="2" spans="1:12" x14ac:dyDescent="0.25">
      <c r="A2" s="25" t="s">
        <v>45</v>
      </c>
      <c r="B2" s="25" t="s">
        <v>46</v>
      </c>
      <c r="C2" s="25" t="s">
        <v>47</v>
      </c>
      <c r="E2" s="25" t="s">
        <v>60</v>
      </c>
      <c r="F2" s="25" t="s">
        <v>61</v>
      </c>
      <c r="G2" s="25" t="s">
        <v>62</v>
      </c>
      <c r="I2" s="25" t="s">
        <v>63</v>
      </c>
      <c r="K2" s="25" t="s">
        <v>64</v>
      </c>
      <c r="L2" s="27">
        <v>0.8</v>
      </c>
    </row>
    <row r="3" spans="1:12" x14ac:dyDescent="0.25">
      <c r="A3" s="25">
        <v>2012</v>
      </c>
      <c r="B3" s="25" t="s">
        <v>48</v>
      </c>
      <c r="C3" s="26">
        <v>14.4</v>
      </c>
      <c r="D3" s="26"/>
      <c r="E3" s="28"/>
      <c r="F3" s="29"/>
      <c r="G3" s="29"/>
      <c r="H3" s="29"/>
      <c r="I3" s="30">
        <f t="shared" ref="I3:I14" si="0">C3/$F$14</f>
        <v>0.29137509484866364</v>
      </c>
      <c r="J3" s="25" t="s">
        <v>65</v>
      </c>
      <c r="K3" s="25" t="s">
        <v>66</v>
      </c>
      <c r="L3" s="27">
        <v>0.1</v>
      </c>
    </row>
    <row r="4" spans="1:12" x14ac:dyDescent="0.25">
      <c r="A4" s="25">
        <v>2012</v>
      </c>
      <c r="B4" s="25" t="s">
        <v>49</v>
      </c>
      <c r="C4" s="26">
        <v>11.5</v>
      </c>
      <c r="D4" s="26"/>
      <c r="E4" s="31"/>
      <c r="I4" s="32">
        <f t="shared" si="0"/>
        <v>0.23269538824719666</v>
      </c>
      <c r="K4" s="25" t="s">
        <v>67</v>
      </c>
      <c r="L4" s="27">
        <v>0.3</v>
      </c>
    </row>
    <row r="5" spans="1:12" x14ac:dyDescent="0.25">
      <c r="A5" s="25">
        <v>2012</v>
      </c>
      <c r="B5" s="25" t="s">
        <v>50</v>
      </c>
      <c r="C5" s="26">
        <v>61.8</v>
      </c>
      <c r="D5" s="26"/>
      <c r="E5" s="31"/>
      <c r="I5" s="32">
        <f t="shared" si="0"/>
        <v>1.2504847820588481</v>
      </c>
    </row>
    <row r="6" spans="1:12" x14ac:dyDescent="0.25">
      <c r="A6" s="25">
        <v>2012</v>
      </c>
      <c r="B6" s="25" t="s">
        <v>51</v>
      </c>
      <c r="C6" s="26">
        <v>37.450000000000003</v>
      </c>
      <c r="D6" s="26"/>
      <c r="E6" s="31"/>
      <c r="I6" s="32">
        <f t="shared" si="0"/>
        <v>0.75777759042239268</v>
      </c>
    </row>
    <row r="7" spans="1:12" x14ac:dyDescent="0.25">
      <c r="A7" s="25">
        <v>2012</v>
      </c>
      <c r="B7" s="25" t="s">
        <v>52</v>
      </c>
      <c r="C7" s="26">
        <v>94.5</v>
      </c>
      <c r="D7" s="26"/>
      <c r="E7" s="31"/>
      <c r="I7" s="32">
        <f t="shared" si="0"/>
        <v>1.9121490599443551</v>
      </c>
    </row>
    <row r="8" spans="1:12" x14ac:dyDescent="0.25">
      <c r="A8" s="25">
        <v>2012</v>
      </c>
      <c r="B8" s="25" t="s">
        <v>53</v>
      </c>
      <c r="C8" s="26">
        <v>104.25</v>
      </c>
      <c r="D8" s="26"/>
      <c r="E8" s="31"/>
      <c r="I8" s="32">
        <f t="shared" si="0"/>
        <v>2.1094342804148045</v>
      </c>
    </row>
    <row r="9" spans="1:12" x14ac:dyDescent="0.25">
      <c r="A9" s="25">
        <v>2012</v>
      </c>
      <c r="B9" s="25" t="s">
        <v>54</v>
      </c>
      <c r="C9" s="26">
        <v>82.2</v>
      </c>
      <c r="D9" s="26"/>
      <c r="E9" s="31"/>
      <c r="I9" s="32">
        <f t="shared" si="0"/>
        <v>1.6632661664277884</v>
      </c>
    </row>
    <row r="10" spans="1:12" x14ac:dyDescent="0.25">
      <c r="A10" s="25">
        <v>2012</v>
      </c>
      <c r="B10" s="25" t="s">
        <v>55</v>
      </c>
      <c r="C10" s="26">
        <v>74.45</v>
      </c>
      <c r="D10" s="26"/>
      <c r="E10" s="31"/>
      <c r="I10" s="32">
        <f t="shared" si="0"/>
        <v>1.5064497091307645</v>
      </c>
    </row>
    <row r="11" spans="1:12" x14ac:dyDescent="0.25">
      <c r="A11" s="25">
        <v>2012</v>
      </c>
      <c r="B11" s="25" t="s">
        <v>56</v>
      </c>
      <c r="C11" s="26">
        <v>54.25</v>
      </c>
      <c r="D11" s="26"/>
      <c r="E11" s="31"/>
      <c r="I11" s="32">
        <f t="shared" si="0"/>
        <v>1.0977152010791669</v>
      </c>
    </row>
    <row r="12" spans="1:12" x14ac:dyDescent="0.25">
      <c r="A12" s="25">
        <v>2012</v>
      </c>
      <c r="B12" s="25" t="s">
        <v>57</v>
      </c>
      <c r="C12" s="26">
        <v>40.200000000000003</v>
      </c>
      <c r="D12" s="26"/>
      <c r="E12" s="31"/>
      <c r="I12" s="32">
        <f t="shared" si="0"/>
        <v>0.81342213978585276</v>
      </c>
    </row>
    <row r="13" spans="1:12" x14ac:dyDescent="0.25">
      <c r="A13" s="25">
        <v>2012</v>
      </c>
      <c r="B13" s="25" t="s">
        <v>58</v>
      </c>
      <c r="C13" s="26">
        <v>17.600000000000001</v>
      </c>
      <c r="D13" s="26"/>
      <c r="E13" s="31"/>
      <c r="I13" s="32">
        <f t="shared" si="0"/>
        <v>0.35612511592614449</v>
      </c>
    </row>
    <row r="14" spans="1:12" x14ac:dyDescent="0.25">
      <c r="A14" s="25">
        <v>2012</v>
      </c>
      <c r="B14" s="25" t="s">
        <v>59</v>
      </c>
      <c r="C14" s="26">
        <v>0.45</v>
      </c>
      <c r="D14" s="26"/>
      <c r="E14" s="33"/>
      <c r="F14" s="34">
        <f>AVERAGE(C3:C14)</f>
        <v>49.420833333333341</v>
      </c>
      <c r="G14" s="34">
        <f>(C15-C3)/12</f>
        <v>-0.8041666666666667</v>
      </c>
      <c r="H14" s="34"/>
      <c r="I14" s="35">
        <f t="shared" si="0"/>
        <v>9.1054717140207388E-3</v>
      </c>
    </row>
    <row r="15" spans="1:12" x14ac:dyDescent="0.25">
      <c r="A15" s="25">
        <v>2013</v>
      </c>
      <c r="B15" s="25" t="s">
        <v>48</v>
      </c>
      <c r="C15" s="26">
        <v>4.75</v>
      </c>
      <c r="D15" s="26"/>
      <c r="E15" s="36">
        <f t="shared" ref="E15:E46" si="1">(F14+G14)*I3</f>
        <v>14.165685861225866</v>
      </c>
      <c r="F15" s="29">
        <f t="shared" ref="F15:F46" si="2">$L$2*(C15/I3)+(1-$L$2)*(F14+G14)</f>
        <v>22.764942129629631</v>
      </c>
      <c r="G15" s="29">
        <f t="shared" ref="G15:G46" si="3">$L$3*(F15-F14)+(1-$L$3)*G14</f>
        <v>-3.3893391203703711</v>
      </c>
      <c r="H15" s="29"/>
      <c r="I15" s="30">
        <f t="shared" ref="I15:I46" si="4">$L$4*(C15/F15)+(1-$L$4)*I3</f>
        <v>0.26655881600830345</v>
      </c>
      <c r="J15" s="25" t="s">
        <v>68</v>
      </c>
    </row>
    <row r="16" spans="1:12" x14ac:dyDescent="0.25">
      <c r="A16" s="25">
        <v>2013</v>
      </c>
      <c r="B16" s="25" t="s">
        <v>49</v>
      </c>
      <c r="C16" s="26">
        <v>19.7</v>
      </c>
      <c r="D16" s="26"/>
      <c r="E16" s="37">
        <f t="shared" si="1"/>
        <v>4.5086134647631351</v>
      </c>
      <c r="F16" s="25">
        <f t="shared" si="2"/>
        <v>71.603149587359098</v>
      </c>
      <c r="G16" s="25">
        <f t="shared" si="3"/>
        <v>1.8334155374396133</v>
      </c>
      <c r="I16" s="32">
        <f t="shared" si="4"/>
        <v>0.2454250404673432</v>
      </c>
    </row>
    <row r="17" spans="1:9" x14ac:dyDescent="0.25">
      <c r="A17" s="25">
        <v>2013</v>
      </c>
      <c r="B17" s="25" t="s">
        <v>50</v>
      </c>
      <c r="C17" s="26">
        <v>25.3</v>
      </c>
      <c r="D17" s="26"/>
      <c r="E17" s="37">
        <f t="shared" si="1"/>
        <v>91.831307135234312</v>
      </c>
      <c r="F17" s="25">
        <f t="shared" si="2"/>
        <v>30.873035786556287</v>
      </c>
      <c r="G17" s="25">
        <f t="shared" si="3"/>
        <v>-2.4229373963846292</v>
      </c>
      <c r="I17" s="32">
        <f t="shared" si="4"/>
        <v>1.1211849472219926</v>
      </c>
    </row>
    <row r="18" spans="1:9" x14ac:dyDescent="0.25">
      <c r="A18" s="25">
        <v>2013</v>
      </c>
      <c r="B18" s="25" t="s">
        <v>51</v>
      </c>
      <c r="C18" s="26">
        <v>22.25</v>
      </c>
      <c r="D18" s="26"/>
      <c r="E18" s="37">
        <f t="shared" si="1"/>
        <v>21.558847005384273</v>
      </c>
      <c r="F18" s="25">
        <f t="shared" si="2"/>
        <v>29.179761556093965</v>
      </c>
      <c r="G18" s="25">
        <f t="shared" si="3"/>
        <v>-2.3499710797923985</v>
      </c>
      <c r="I18" s="32">
        <f t="shared" si="4"/>
        <v>0.75919875281253857</v>
      </c>
    </row>
    <row r="19" spans="1:9" x14ac:dyDescent="0.25">
      <c r="A19" s="25">
        <v>2013</v>
      </c>
      <c r="B19" s="25" t="s">
        <v>52</v>
      </c>
      <c r="C19" s="26">
        <v>59.6</v>
      </c>
      <c r="D19" s="26"/>
      <c r="E19" s="37">
        <f t="shared" si="1"/>
        <v>51.302558637764058</v>
      </c>
      <c r="F19" s="25">
        <f t="shared" si="2"/>
        <v>30.301252627888182</v>
      </c>
      <c r="G19" s="25">
        <f t="shared" si="3"/>
        <v>-2.002824864633737</v>
      </c>
      <c r="I19" s="32">
        <f t="shared" si="4"/>
        <v>1.9285789576732681</v>
      </c>
    </row>
    <row r="20" spans="1:9" x14ac:dyDescent="0.25">
      <c r="A20" s="25">
        <v>2013</v>
      </c>
      <c r="B20" s="25" t="s">
        <v>53</v>
      </c>
      <c r="C20" s="26">
        <v>83.5</v>
      </c>
      <c r="D20" s="26"/>
      <c r="E20" s="37">
        <f t="shared" si="1"/>
        <v>59.693673605650964</v>
      </c>
      <c r="F20" s="25">
        <f t="shared" si="2"/>
        <v>37.326943746096134</v>
      </c>
      <c r="G20" s="25">
        <f t="shared" si="3"/>
        <v>-1.099973266349568</v>
      </c>
      <c r="I20" s="32">
        <f t="shared" si="4"/>
        <v>2.1477009971697845</v>
      </c>
    </row>
    <row r="21" spans="1:9" x14ac:dyDescent="0.25">
      <c r="A21" s="25">
        <v>2013</v>
      </c>
      <c r="B21" s="25" t="s">
        <v>54</v>
      </c>
      <c r="C21" s="26">
        <v>63.75</v>
      </c>
      <c r="D21" s="26"/>
      <c r="E21" s="37">
        <f t="shared" si="1"/>
        <v>60.255094311140731</v>
      </c>
      <c r="F21" s="25">
        <f t="shared" si="2"/>
        <v>37.907954923199924</v>
      </c>
      <c r="G21" s="25">
        <f t="shared" si="3"/>
        <v>-0.93187482200423233</v>
      </c>
      <c r="I21" s="32">
        <f t="shared" si="4"/>
        <v>1.6687978375969765</v>
      </c>
    </row>
    <row r="22" spans="1:9" x14ac:dyDescent="0.25">
      <c r="A22" s="25">
        <v>2013</v>
      </c>
      <c r="B22" s="25" t="s">
        <v>55</v>
      </c>
      <c r="C22" s="26">
        <v>56.55</v>
      </c>
      <c r="D22" s="26"/>
      <c r="E22" s="37">
        <f t="shared" si="1"/>
        <v>55.7026051132421</v>
      </c>
      <c r="F22" s="25">
        <f t="shared" si="2"/>
        <v>37.42608908941309</v>
      </c>
      <c r="G22" s="25">
        <f t="shared" si="3"/>
        <v>-0.88687392318249259</v>
      </c>
      <c r="I22" s="32">
        <f t="shared" si="4"/>
        <v>1.5078082185139918</v>
      </c>
    </row>
    <row r="23" spans="1:9" x14ac:dyDescent="0.25">
      <c r="A23" s="25">
        <v>2013</v>
      </c>
      <c r="B23" s="25" t="s">
        <v>56</v>
      </c>
      <c r="C23" s="26">
        <v>54.05</v>
      </c>
      <c r="D23" s="26"/>
      <c r="E23" s="37">
        <f t="shared" si="1"/>
        <v>40.109651923473763</v>
      </c>
      <c r="F23" s="25">
        <f t="shared" si="2"/>
        <v>46.698752403445809</v>
      </c>
      <c r="G23" s="25">
        <f t="shared" si="3"/>
        <v>0.12907980053902868</v>
      </c>
      <c r="I23" s="32">
        <f t="shared" si="4"/>
        <v>1.1156261910209422</v>
      </c>
    </row>
    <row r="24" spans="1:9" x14ac:dyDescent="0.25">
      <c r="A24" s="25">
        <v>2013</v>
      </c>
      <c r="B24" s="25" t="s">
        <v>57</v>
      </c>
      <c r="C24" s="26">
        <v>34.6</v>
      </c>
      <c r="D24" s="26"/>
      <c r="E24" s="37">
        <f t="shared" si="1"/>
        <v>38.090795472898215</v>
      </c>
      <c r="F24" s="25">
        <f t="shared" si="2"/>
        <v>43.394637750913063</v>
      </c>
      <c r="G24" s="25">
        <f t="shared" si="3"/>
        <v>-0.21423964476814883</v>
      </c>
      <c r="I24" s="32">
        <f t="shared" si="4"/>
        <v>0.80859555891712576</v>
      </c>
    </row>
    <row r="25" spans="1:9" x14ac:dyDescent="0.25">
      <c r="A25" s="25">
        <v>2013</v>
      </c>
      <c r="B25" s="25" t="s">
        <v>58</v>
      </c>
      <c r="C25" s="26">
        <v>16.399999999999999</v>
      </c>
      <c r="D25" s="26"/>
      <c r="E25" s="37">
        <f t="shared" si="1"/>
        <v>15.377624281287927</v>
      </c>
      <c r="F25" s="25">
        <f t="shared" si="2"/>
        <v>45.477064469713824</v>
      </c>
      <c r="G25" s="25">
        <f t="shared" si="3"/>
        <v>1.5426991588742167E-2</v>
      </c>
      <c r="I25" s="32">
        <f t="shared" si="4"/>
        <v>0.35747398362105864</v>
      </c>
    </row>
    <row r="26" spans="1:9" x14ac:dyDescent="0.25">
      <c r="A26" s="25">
        <v>2013</v>
      </c>
      <c r="B26" s="25" t="s">
        <v>59</v>
      </c>
      <c r="C26" s="26">
        <v>2.85</v>
      </c>
      <c r="D26" s="26"/>
      <c r="E26" s="37">
        <f t="shared" si="1"/>
        <v>0.41423059420122049</v>
      </c>
      <c r="F26" s="25">
        <f t="shared" si="2"/>
        <v>259.49738718114946</v>
      </c>
      <c r="G26" s="25">
        <f t="shared" si="3"/>
        <v>21.415916563573436</v>
      </c>
      <c r="I26" s="32">
        <f t="shared" si="4"/>
        <v>9.6686610622275671E-3</v>
      </c>
    </row>
    <row r="27" spans="1:9" x14ac:dyDescent="0.25">
      <c r="A27" s="25">
        <v>2014</v>
      </c>
      <c r="B27" s="25" t="s">
        <v>48</v>
      </c>
      <c r="C27" s="26">
        <v>2.35</v>
      </c>
      <c r="D27" s="26"/>
      <c r="E27" s="37">
        <f t="shared" si="1"/>
        <v>74.879917647174253</v>
      </c>
      <c r="F27" s="25">
        <f t="shared" si="2"/>
        <v>63.235513204372026</v>
      </c>
      <c r="G27" s="25">
        <f t="shared" si="3"/>
        <v>-0.3518624904616523</v>
      </c>
      <c r="I27" s="32">
        <f t="shared" si="4"/>
        <v>0.19773996978868302</v>
      </c>
    </row>
    <row r="28" spans="1:9" x14ac:dyDescent="0.25">
      <c r="A28" s="25">
        <v>2014</v>
      </c>
      <c r="B28" s="25" t="s">
        <v>49</v>
      </c>
      <c r="C28" s="26">
        <v>11.75</v>
      </c>
      <c r="D28" s="26"/>
      <c r="E28" s="37">
        <f t="shared" si="1"/>
        <v>15.433222521195727</v>
      </c>
      <c r="F28" s="25">
        <f t="shared" si="2"/>
        <v>50.877630418077274</v>
      </c>
      <c r="G28" s="25">
        <f t="shared" si="3"/>
        <v>-1.5524645200449625</v>
      </c>
      <c r="I28" s="32">
        <f t="shared" si="4"/>
        <v>0.24108141539172995</v>
      </c>
    </row>
    <row r="29" spans="1:9" x14ac:dyDescent="0.25">
      <c r="A29" s="25">
        <v>2014</v>
      </c>
      <c r="B29" s="25" t="s">
        <v>50</v>
      </c>
      <c r="C29" s="26">
        <v>25.05</v>
      </c>
      <c r="D29" s="26"/>
      <c r="E29" s="37">
        <f t="shared" si="1"/>
        <v>55.302633524101381</v>
      </c>
      <c r="F29" s="25">
        <f t="shared" si="2"/>
        <v>27.738979890765897</v>
      </c>
      <c r="G29" s="25">
        <f t="shared" si="3"/>
        <v>-3.7110831207716042</v>
      </c>
      <c r="I29" s="32">
        <f t="shared" si="4"/>
        <v>1.0557478612659104</v>
      </c>
    </row>
    <row r="30" spans="1:9" x14ac:dyDescent="0.25">
      <c r="A30" s="25">
        <v>2014</v>
      </c>
      <c r="B30" s="25" t="s">
        <v>51</v>
      </c>
      <c r="C30" s="26">
        <v>45.4</v>
      </c>
      <c r="D30" s="26"/>
      <c r="E30" s="37">
        <f t="shared" si="1"/>
        <v>18.241949260488092</v>
      </c>
      <c r="F30" s="25">
        <f t="shared" si="2"/>
        <v>52.645489345221065</v>
      </c>
      <c r="G30" s="25">
        <f t="shared" si="3"/>
        <v>-0.84932386324892661</v>
      </c>
      <c r="I30" s="32">
        <f t="shared" si="4"/>
        <v>0.79015075011824176</v>
      </c>
    </row>
    <row r="31" spans="1:9" x14ac:dyDescent="0.25">
      <c r="A31" s="25">
        <v>2014</v>
      </c>
      <c r="B31" s="25" t="s">
        <v>52</v>
      </c>
      <c r="C31" s="26">
        <v>61.5</v>
      </c>
      <c r="D31" s="26"/>
      <c r="E31" s="37">
        <f t="shared" si="1"/>
        <v>99.892994836693944</v>
      </c>
      <c r="F31" s="25">
        <f t="shared" si="2"/>
        <v>35.870244613059157</v>
      </c>
      <c r="G31" s="25">
        <f t="shared" si="3"/>
        <v>-2.441915950140225</v>
      </c>
      <c r="I31" s="32">
        <f t="shared" si="4"/>
        <v>1.864359164497869</v>
      </c>
    </row>
    <row r="32" spans="1:9" x14ac:dyDescent="0.25">
      <c r="A32" s="25">
        <v>2014</v>
      </c>
      <c r="B32" s="25" t="s">
        <v>53</v>
      </c>
      <c r="C32" s="26">
        <v>83.9</v>
      </c>
      <c r="D32" s="26"/>
      <c r="E32" s="37">
        <f t="shared" si="1"/>
        <v>71.794054803070267</v>
      </c>
      <c r="F32" s="25">
        <f t="shared" si="2"/>
        <v>37.937688285280814</v>
      </c>
      <c r="G32" s="25">
        <f t="shared" si="3"/>
        <v>-1.9909799879040371</v>
      </c>
      <c r="I32" s="32">
        <f t="shared" si="4"/>
        <v>2.1668470428211108</v>
      </c>
    </row>
    <row r="33" spans="1:9" x14ac:dyDescent="0.25">
      <c r="A33" s="25">
        <v>2014</v>
      </c>
      <c r="B33" s="25" t="s">
        <v>54</v>
      </c>
      <c r="C33" s="26">
        <v>52.4</v>
      </c>
      <c r="D33" s="26"/>
      <c r="E33" s="37">
        <f t="shared" si="1"/>
        <v>59.987789075391653</v>
      </c>
      <c r="F33" s="25">
        <f t="shared" si="2"/>
        <v>32.309220805749689</v>
      </c>
      <c r="G33" s="25">
        <f t="shared" si="3"/>
        <v>-2.354728737066746</v>
      </c>
      <c r="I33" s="32">
        <f t="shared" si="4"/>
        <v>1.6547068959657727</v>
      </c>
    </row>
    <row r="34" spans="1:9" x14ac:dyDescent="0.25">
      <c r="A34" s="25">
        <v>2014</v>
      </c>
      <c r="B34" s="25" t="s">
        <v>55</v>
      </c>
      <c r="C34" s="26">
        <v>57.6</v>
      </c>
      <c r="D34" s="26"/>
      <c r="E34" s="37">
        <f t="shared" si="1"/>
        <v>45.165629322572322</v>
      </c>
      <c r="F34" s="25">
        <f t="shared" si="2"/>
        <v>36.551814208063384</v>
      </c>
      <c r="G34" s="25">
        <f t="shared" si="3"/>
        <v>-1.6949965231287019</v>
      </c>
      <c r="I34" s="32">
        <f t="shared" si="4"/>
        <v>1.5282193049897235</v>
      </c>
    </row>
    <row r="35" spans="1:9" x14ac:dyDescent="0.25">
      <c r="A35" s="25">
        <v>2014</v>
      </c>
      <c r="B35" s="25" t="s">
        <v>56</v>
      </c>
      <c r="C35" s="26">
        <v>63.85</v>
      </c>
      <c r="D35" s="26"/>
      <c r="E35" s="37">
        <f t="shared" si="1"/>
        <v>38.887178744955094</v>
      </c>
      <c r="F35" s="25">
        <f t="shared" si="2"/>
        <v>52.757309054504056</v>
      </c>
      <c r="G35" s="25">
        <f t="shared" si="3"/>
        <v>9.505261382823571E-2</v>
      </c>
      <c r="I35" s="32">
        <f t="shared" si="4"/>
        <v>1.1440159876604055</v>
      </c>
    </row>
    <row r="36" spans="1:9" x14ac:dyDescent="0.25">
      <c r="A36" s="25">
        <v>2014</v>
      </c>
      <c r="B36" s="25" t="s">
        <v>57</v>
      </c>
      <c r="C36" s="26">
        <v>30.9</v>
      </c>
      <c r="D36" s="26"/>
      <c r="E36" s="37">
        <f t="shared" si="1"/>
        <v>42.736184923295227</v>
      </c>
      <c r="F36" s="25">
        <f t="shared" si="2"/>
        <v>41.141998144549113</v>
      </c>
      <c r="G36" s="25">
        <f t="shared" si="3"/>
        <v>-1.0759837385500821</v>
      </c>
      <c r="I36" s="32">
        <f t="shared" si="4"/>
        <v>0.79133409551171252</v>
      </c>
    </row>
    <row r="37" spans="1:9" x14ac:dyDescent="0.25">
      <c r="A37" s="25">
        <v>2014</v>
      </c>
      <c r="B37" s="25" t="s">
        <v>58</v>
      </c>
      <c r="C37" s="26">
        <v>34.299999999999997</v>
      </c>
      <c r="D37" s="26"/>
      <c r="E37" s="37">
        <f t="shared" si="1"/>
        <v>14.322557777531198</v>
      </c>
      <c r="F37" s="25">
        <f t="shared" si="2"/>
        <v>84.774033759140991</v>
      </c>
      <c r="G37" s="25">
        <f t="shared" si="3"/>
        <v>3.3948181967641142</v>
      </c>
      <c r="I37" s="32">
        <f t="shared" si="4"/>
        <v>0.37161329586322123</v>
      </c>
    </row>
    <row r="38" spans="1:9" x14ac:dyDescent="0.25">
      <c r="A38" s="25">
        <v>2014</v>
      </c>
      <c r="B38" s="25" t="s">
        <v>59</v>
      </c>
      <c r="C38" s="26">
        <v>2</v>
      </c>
      <c r="D38" s="26"/>
      <c r="E38" s="37">
        <f t="shared" si="1"/>
        <v>0.8524747458073666</v>
      </c>
      <c r="F38" s="25">
        <f t="shared" si="2"/>
        <v>183.11686982991296</v>
      </c>
      <c r="G38" s="25">
        <f t="shared" si="3"/>
        <v>12.889619984164899</v>
      </c>
      <c r="I38" s="32">
        <f t="shared" si="4"/>
        <v>1.0044658725990115E-2</v>
      </c>
    </row>
    <row r="39" spans="1:9" x14ac:dyDescent="0.25">
      <c r="A39" s="25">
        <v>2015</v>
      </c>
      <c r="B39" s="25" t="s">
        <v>48</v>
      </c>
      <c r="C39" s="26">
        <v>3.55</v>
      </c>
      <c r="D39" s="26"/>
      <c r="E39" s="37">
        <f t="shared" si="1"/>
        <v>38.758317374221562</v>
      </c>
      <c r="F39" s="25">
        <f t="shared" si="2"/>
        <v>53.56359407844154</v>
      </c>
      <c r="G39" s="25">
        <f t="shared" si="3"/>
        <v>-1.3546695893987319</v>
      </c>
      <c r="I39" s="32">
        <f t="shared" si="4"/>
        <v>0.15830088660543673</v>
      </c>
    </row>
    <row r="40" spans="1:9" x14ac:dyDescent="0.25">
      <c r="A40" s="25">
        <v>2015</v>
      </c>
      <c r="B40" s="25" t="s">
        <v>49</v>
      </c>
      <c r="C40" s="26">
        <v>5.15</v>
      </c>
      <c r="D40" s="26"/>
      <c r="E40" s="37">
        <f t="shared" si="1"/>
        <v>12.586601411898391</v>
      </c>
      <c r="F40" s="25">
        <f t="shared" si="2"/>
        <v>27.531447297979341</v>
      </c>
      <c r="G40" s="25">
        <f t="shared" si="3"/>
        <v>-3.822417308505079</v>
      </c>
      <c r="I40" s="32">
        <f t="shared" si="4"/>
        <v>0.22487463628983173</v>
      </c>
    </row>
    <row r="41" spans="1:9" x14ac:dyDescent="0.25">
      <c r="A41" s="25">
        <v>2015</v>
      </c>
      <c r="B41" s="25" t="s">
        <v>50</v>
      </c>
      <c r="C41" s="26">
        <v>28.55</v>
      </c>
      <c r="D41" s="26"/>
      <c r="E41" s="37">
        <f t="shared" si="1"/>
        <v>25.03075770407678</v>
      </c>
      <c r="F41" s="25">
        <f t="shared" si="2"/>
        <v>26.375759366849213</v>
      </c>
      <c r="G41" s="25">
        <f t="shared" si="3"/>
        <v>-3.555744370767584</v>
      </c>
      <c r="I41" s="32">
        <f t="shared" si="4"/>
        <v>1.0637534900259598</v>
      </c>
    </row>
    <row r="42" spans="1:9" x14ac:dyDescent="0.25">
      <c r="A42" s="25">
        <v>2015</v>
      </c>
      <c r="B42" s="25" t="s">
        <v>51</v>
      </c>
      <c r="C42" s="26">
        <v>37.35</v>
      </c>
      <c r="D42" s="26"/>
      <c r="E42" s="37">
        <f t="shared" si="1"/>
        <v>18.031251966863426</v>
      </c>
      <c r="F42" s="25">
        <f t="shared" si="2"/>
        <v>42.379571731548253</v>
      </c>
      <c r="G42" s="25">
        <f t="shared" si="3"/>
        <v>-1.5997886972209217</v>
      </c>
      <c r="I42" s="32">
        <f t="shared" si="4"/>
        <v>0.81750177880089636</v>
      </c>
    </row>
    <row r="43" spans="1:9" x14ac:dyDescent="0.25">
      <c r="A43" s="25">
        <v>2015</v>
      </c>
      <c r="B43" s="25" t="s">
        <v>52</v>
      </c>
      <c r="C43" s="26">
        <v>48.45</v>
      </c>
      <c r="D43" s="26"/>
      <c r="E43" s="37">
        <f t="shared" si="1"/>
        <v>76.028162226282873</v>
      </c>
      <c r="F43" s="25">
        <f t="shared" si="2"/>
        <v>28.945942108634007</v>
      </c>
      <c r="G43" s="25">
        <f t="shared" si="3"/>
        <v>-2.7831727897902541</v>
      </c>
      <c r="I43" s="32">
        <f t="shared" si="4"/>
        <v>1.8071943388595488</v>
      </c>
    </row>
    <row r="44" spans="1:9" x14ac:dyDescent="0.25">
      <c r="A44" s="25">
        <v>2015</v>
      </c>
      <c r="B44" s="25" t="s">
        <v>53</v>
      </c>
      <c r="C44" s="26">
        <v>64.099999999999994</v>
      </c>
      <c r="D44" s="26"/>
      <c r="E44" s="37">
        <f t="shared" si="1"/>
        <v>56.690719330547473</v>
      </c>
      <c r="F44" s="25">
        <f t="shared" si="2"/>
        <v>28.898275987484677</v>
      </c>
      <c r="G44" s="25">
        <f t="shared" si="3"/>
        <v>-2.5096221229261619</v>
      </c>
      <c r="I44" s="32">
        <f t="shared" si="4"/>
        <v>2.1822305501403596</v>
      </c>
    </row>
    <row r="45" spans="1:9" x14ac:dyDescent="0.25">
      <c r="A45" s="25">
        <v>2015</v>
      </c>
      <c r="B45" s="25" t="s">
        <v>54</v>
      </c>
      <c r="C45" s="26">
        <v>48.9</v>
      </c>
      <c r="D45" s="26"/>
      <c r="E45" s="37">
        <f t="shared" si="1"/>
        <v>43.665487524938811</v>
      </c>
      <c r="F45" s="25">
        <f t="shared" si="2"/>
        <v>28.919379995124885</v>
      </c>
      <c r="G45" s="25">
        <f t="shared" si="3"/>
        <v>-2.256549509869525</v>
      </c>
      <c r="I45" s="32">
        <f t="shared" si="4"/>
        <v>1.6655671131819305</v>
      </c>
    </row>
    <row r="46" spans="1:9" x14ac:dyDescent="0.25">
      <c r="A46" s="25">
        <v>2015</v>
      </c>
      <c r="B46" s="25" t="s">
        <v>55</v>
      </c>
      <c r="C46" s="26">
        <v>63.75</v>
      </c>
      <c r="D46" s="26"/>
      <c r="E46" s="37">
        <f t="shared" si="1"/>
        <v>40.746652273235753</v>
      </c>
      <c r="F46" s="25">
        <f t="shared" si="2"/>
        <v>38.704739733048264</v>
      </c>
      <c r="G46" s="25">
        <f t="shared" si="3"/>
        <v>-1.0523585850902348</v>
      </c>
      <c r="I46" s="32">
        <f t="shared" si="4"/>
        <v>1.5638790426116602</v>
      </c>
    </row>
    <row r="47" spans="1:9" x14ac:dyDescent="0.25">
      <c r="A47" s="25">
        <v>2015</v>
      </c>
      <c r="B47" s="25" t="s">
        <v>56</v>
      </c>
      <c r="C47" s="26">
        <v>52.6</v>
      </c>
      <c r="D47" s="26"/>
      <c r="E47" s="37">
        <f t="shared" ref="E47:E78" si="5">(F46+G46)*I35</f>
        <v>43.074926006747241</v>
      </c>
      <c r="F47" s="25">
        <f t="shared" ref="F47:F78" si="6">$L$2*(C47/I35)+(1-$L$2)*(F46+G46)</f>
        <v>44.313178966164905</v>
      </c>
      <c r="G47" s="25">
        <f t="shared" ref="G47:G78" si="7">$L$3*(F47-F46)+(1-$L$3)*G46</f>
        <v>-0.38627880326954722</v>
      </c>
      <c r="I47" s="32">
        <f t="shared" ref="I47:I78" si="8">$L$4*(C47/F47)+(1-$L$4)*I35</f>
        <v>1.1569129283206891</v>
      </c>
    </row>
    <row r="48" spans="1:9" x14ac:dyDescent="0.25">
      <c r="A48" s="25">
        <v>2015</v>
      </c>
      <c r="B48" s="25" t="s">
        <v>57</v>
      </c>
      <c r="C48" s="26">
        <v>56.2</v>
      </c>
      <c r="D48" s="26"/>
      <c r="E48" s="37">
        <f t="shared" si="5"/>
        <v>34.760853809038096</v>
      </c>
      <c r="F48" s="25">
        <f t="shared" si="6"/>
        <v>65.600826574063973</v>
      </c>
      <c r="G48" s="25">
        <f t="shared" si="7"/>
        <v>1.7811138378473144</v>
      </c>
      <c r="I48" s="32">
        <f t="shared" si="8"/>
        <v>0.81094282361219472</v>
      </c>
    </row>
    <row r="49" spans="1:9" x14ac:dyDescent="0.25">
      <c r="A49" s="25">
        <v>2015</v>
      </c>
      <c r="B49" s="25" t="s">
        <v>58</v>
      </c>
      <c r="C49" s="26">
        <v>24.85</v>
      </c>
      <c r="D49" s="26"/>
      <c r="E49" s="37">
        <f t="shared" si="5"/>
        <v>25.040024958129532</v>
      </c>
      <c r="F49" s="25">
        <f t="shared" si="6"/>
        <v>66.97285933705227</v>
      </c>
      <c r="G49" s="25">
        <f t="shared" si="7"/>
        <v>1.7402057303614127</v>
      </c>
      <c r="I49" s="32">
        <f t="shared" si="8"/>
        <v>0.37144305529710786</v>
      </c>
    </row>
    <row r="50" spans="1:9" x14ac:dyDescent="0.25">
      <c r="A50" s="25">
        <v>2015</v>
      </c>
      <c r="B50" s="25" t="s">
        <v>59</v>
      </c>
      <c r="C50" s="26">
        <v>1.5</v>
      </c>
      <c r="D50" s="26"/>
      <c r="E50" s="37">
        <f t="shared" si="5"/>
        <v>0.69019928861892332</v>
      </c>
      <c r="F50" s="25">
        <f t="shared" si="6"/>
        <v>133.209090943196</v>
      </c>
      <c r="G50" s="25">
        <f t="shared" si="7"/>
        <v>8.1898083179396455</v>
      </c>
      <c r="I50" s="32">
        <f t="shared" si="8"/>
        <v>1.0409408926887319E-2</v>
      </c>
    </row>
    <row r="51" spans="1:9" x14ac:dyDescent="0.25">
      <c r="A51" s="25">
        <v>2016</v>
      </c>
      <c r="B51" s="25" t="s">
        <v>48</v>
      </c>
      <c r="C51" s="26">
        <v>2.65</v>
      </c>
      <c r="D51" s="26"/>
      <c r="E51" s="37">
        <f t="shared" si="5"/>
        <v>22.383571118070606</v>
      </c>
      <c r="F51" s="25">
        <f t="shared" si="6"/>
        <v>41.671997959533613</v>
      </c>
      <c r="G51" s="25">
        <f t="shared" si="7"/>
        <v>-1.7828818122205581</v>
      </c>
      <c r="I51" s="32">
        <f t="shared" si="8"/>
        <v>0.12988817963050367</v>
      </c>
    </row>
    <row r="52" spans="1:9" x14ac:dyDescent="0.25">
      <c r="A52" s="25">
        <v>2016</v>
      </c>
      <c r="B52" s="25" t="s">
        <v>49</v>
      </c>
      <c r="C52" s="26">
        <v>9.15</v>
      </c>
      <c r="D52" s="26"/>
      <c r="E52" s="37">
        <f t="shared" si="5"/>
        <v>8.9700504855498764</v>
      </c>
      <c r="F52" s="25">
        <f t="shared" si="6"/>
        <v>40.529293331966969</v>
      </c>
      <c r="G52" s="25">
        <f t="shared" si="7"/>
        <v>-1.7188640937551667</v>
      </c>
      <c r="I52" s="32">
        <f t="shared" si="8"/>
        <v>0.22514103547864983</v>
      </c>
    </row>
    <row r="53" spans="1:9" x14ac:dyDescent="0.25">
      <c r="A53" s="25">
        <v>2016</v>
      </c>
      <c r="B53" s="25" t="s">
        <v>50</v>
      </c>
      <c r="C53" s="26">
        <v>52.15</v>
      </c>
      <c r="D53" s="26"/>
      <c r="E53" s="37">
        <f t="shared" si="5"/>
        <v>41.284729551553355</v>
      </c>
      <c r="F53" s="25">
        <f t="shared" si="6"/>
        <v>46.981698653784008</v>
      </c>
      <c r="G53" s="25">
        <f t="shared" si="7"/>
        <v>-0.90173715219794615</v>
      </c>
      <c r="I53" s="32">
        <f t="shared" si="8"/>
        <v>1.0776294512105664</v>
      </c>
    </row>
    <row r="54" spans="1:9" x14ac:dyDescent="0.25">
      <c r="A54" s="25">
        <v>2016</v>
      </c>
      <c r="B54" s="25" t="s">
        <v>51</v>
      </c>
      <c r="C54" s="26">
        <v>82.9</v>
      </c>
      <c r="D54" s="26"/>
      <c r="E54" s="37">
        <f t="shared" si="5"/>
        <v>37.670450494623431</v>
      </c>
      <c r="F54" s="25">
        <f t="shared" si="6"/>
        <v>90.341198042716371</v>
      </c>
      <c r="G54" s="25">
        <f t="shared" si="7"/>
        <v>3.5243865019150848</v>
      </c>
      <c r="I54" s="32">
        <f t="shared" si="8"/>
        <v>0.84754093069524505</v>
      </c>
    </row>
    <row r="55" spans="1:9" x14ac:dyDescent="0.25">
      <c r="A55" s="25">
        <v>2016</v>
      </c>
      <c r="B55" s="25" t="s">
        <v>52</v>
      </c>
      <c r="C55" s="26">
        <v>65.55</v>
      </c>
      <c r="D55" s="26"/>
      <c r="E55" s="37">
        <f t="shared" si="5"/>
        <v>169.63335300280033</v>
      </c>
      <c r="F55" s="25">
        <f t="shared" si="6"/>
        <v>47.790472083407892</v>
      </c>
      <c r="G55" s="25">
        <f t="shared" si="7"/>
        <v>-1.0831247442072716</v>
      </c>
      <c r="I55" s="32">
        <f t="shared" si="8"/>
        <v>1.6765197313924216</v>
      </c>
    </row>
    <row r="56" spans="1:9" x14ac:dyDescent="0.25">
      <c r="A56" s="25">
        <v>2016</v>
      </c>
      <c r="B56" s="25" t="s">
        <v>53</v>
      </c>
      <c r="C56" s="26">
        <v>55.05</v>
      </c>
      <c r="D56" s="26"/>
      <c r="E56" s="37">
        <f t="shared" si="5"/>
        <v>101.92620027962064</v>
      </c>
      <c r="F56" s="25">
        <f t="shared" si="6"/>
        <v>29.522655180398026</v>
      </c>
      <c r="G56" s="25">
        <f t="shared" si="7"/>
        <v>-2.8015939600875308</v>
      </c>
      <c r="I56" s="32">
        <f t="shared" si="8"/>
        <v>2.0869622892203634</v>
      </c>
    </row>
    <row r="57" spans="1:9" x14ac:dyDescent="0.25">
      <c r="A57" s="25">
        <v>2016</v>
      </c>
      <c r="B57" s="25" t="s">
        <v>54</v>
      </c>
      <c r="C57" s="26">
        <v>54.25</v>
      </c>
      <c r="D57" s="26"/>
      <c r="E57" s="37">
        <f t="shared" si="5"/>
        <v>44.505720797870183</v>
      </c>
      <c r="F57" s="25">
        <f t="shared" si="6"/>
        <v>31.40140300900692</v>
      </c>
      <c r="G57" s="25">
        <f t="shared" si="7"/>
        <v>-2.3335597812178883</v>
      </c>
      <c r="I57" s="32">
        <f t="shared" si="8"/>
        <v>1.6841859230472123</v>
      </c>
    </row>
    <row r="58" spans="1:9" x14ac:dyDescent="0.25">
      <c r="A58" s="25">
        <v>2016</v>
      </c>
      <c r="B58" s="25" t="s">
        <v>55</v>
      </c>
      <c r="C58" s="26">
        <v>86.7</v>
      </c>
      <c r="D58" s="26"/>
      <c r="E58" s="37">
        <f t="shared" si="5"/>
        <v>45.458590837860541</v>
      </c>
      <c r="F58" s="25">
        <f t="shared" si="6"/>
        <v>50.164824791410098</v>
      </c>
      <c r="G58" s="25">
        <f t="shared" si="7"/>
        <v>-0.22386162485578165</v>
      </c>
      <c r="I58" s="32">
        <f t="shared" si="8"/>
        <v>1.6132061270780667</v>
      </c>
    </row>
    <row r="59" spans="1:9" x14ac:dyDescent="0.25">
      <c r="A59" s="25">
        <v>2016</v>
      </c>
      <c r="B59" s="25" t="s">
        <v>56</v>
      </c>
      <c r="C59" s="26">
        <v>65.45</v>
      </c>
      <c r="D59" s="26"/>
      <c r="E59" s="37">
        <f t="shared" si="5"/>
        <v>57.777345940174037</v>
      </c>
      <c r="F59" s="25">
        <f t="shared" si="6"/>
        <v>55.246568366048919</v>
      </c>
      <c r="G59" s="25">
        <f t="shared" si="7"/>
        <v>0.30669889509367865</v>
      </c>
      <c r="I59" s="32">
        <f t="shared" si="8"/>
        <v>1.1652457398817502</v>
      </c>
    </row>
    <row r="60" spans="1:9" x14ac:dyDescent="0.25">
      <c r="A60" s="25">
        <v>2016</v>
      </c>
      <c r="B60" s="25" t="s">
        <v>57</v>
      </c>
      <c r="C60" s="26">
        <v>41.05</v>
      </c>
      <c r="D60" s="26"/>
      <c r="E60" s="37">
        <f t="shared" si="5"/>
        <v>45.050523413633876</v>
      </c>
      <c r="F60" s="25">
        <f t="shared" si="6"/>
        <v>51.60672671880026</v>
      </c>
      <c r="G60" s="25">
        <f t="shared" si="7"/>
        <v>-8.7955159140555073E-2</v>
      </c>
      <c r="I60" s="32">
        <f t="shared" si="8"/>
        <v>0.80629165853974316</v>
      </c>
    </row>
    <row r="61" spans="1:9" x14ac:dyDescent="0.25">
      <c r="A61" s="25">
        <v>2016</v>
      </c>
      <c r="B61" s="25" t="s">
        <v>58</v>
      </c>
      <c r="C61" s="26">
        <v>18.649999999999999</v>
      </c>
      <c r="D61" s="26"/>
      <c r="E61" s="37">
        <f t="shared" si="5"/>
        <v>19.136289913273746</v>
      </c>
      <c r="F61" s="25">
        <f t="shared" si="6"/>
        <v>50.47141874185612</v>
      </c>
      <c r="G61" s="25">
        <f t="shared" si="7"/>
        <v>-0.19269044092091364</v>
      </c>
      <c r="I61" s="32">
        <f t="shared" si="8"/>
        <v>0.37086495791994362</v>
      </c>
    </row>
    <row r="62" spans="1:9" x14ac:dyDescent="0.25">
      <c r="A62" s="25">
        <v>2016</v>
      </c>
      <c r="B62" s="25" t="s">
        <v>59</v>
      </c>
      <c r="C62" s="26">
        <v>16.05</v>
      </c>
      <c r="D62" s="26"/>
      <c r="E62" s="37">
        <f t="shared" si="5"/>
        <v>0.52337184320829699</v>
      </c>
      <c r="F62" s="25">
        <f t="shared" si="6"/>
        <v>1243.5551777782307</v>
      </c>
      <c r="G62" s="25">
        <f t="shared" si="7"/>
        <v>119.13495450680864</v>
      </c>
      <c r="I62" s="32">
        <f t="shared" si="8"/>
        <v>1.1158549540874321E-2</v>
      </c>
    </row>
    <row r="63" spans="1:9" x14ac:dyDescent="0.25">
      <c r="A63" s="25">
        <v>2017</v>
      </c>
      <c r="B63" s="25" t="s">
        <v>48</v>
      </c>
      <c r="C63" s="26">
        <v>5.9</v>
      </c>
      <c r="D63" s="26"/>
      <c r="E63" s="37">
        <f t="shared" si="5"/>
        <v>176.99734068295402</v>
      </c>
      <c r="F63" s="25">
        <f t="shared" si="6"/>
        <v>308.87697595516164</v>
      </c>
      <c r="G63" s="25">
        <f t="shared" si="7"/>
        <v>13.753638873820876</v>
      </c>
      <c r="I63" s="32">
        <f t="shared" si="8"/>
        <v>9.6652162574743933E-2</v>
      </c>
    </row>
    <row r="64" spans="1:9" x14ac:dyDescent="0.25">
      <c r="A64" s="25">
        <v>2017</v>
      </c>
      <c r="B64" s="25" t="s">
        <v>49</v>
      </c>
      <c r="C64" s="26">
        <v>9.6999999999999993</v>
      </c>
      <c r="D64" s="26"/>
      <c r="E64" s="37">
        <f t="shared" si="5"/>
        <v>72.637390699710565</v>
      </c>
      <c r="F64" s="25">
        <f t="shared" si="6"/>
        <v>98.993406921838698</v>
      </c>
      <c r="G64" s="25">
        <f t="shared" si="7"/>
        <v>-8.6100819168935079</v>
      </c>
      <c r="I64" s="32">
        <f t="shared" si="8"/>
        <v>0.18699462190017579</v>
      </c>
    </row>
    <row r="65" spans="1:9" x14ac:dyDescent="0.25">
      <c r="A65" s="25">
        <v>2017</v>
      </c>
      <c r="B65" s="25" t="s">
        <v>50</v>
      </c>
      <c r="C65" s="26">
        <v>23.1</v>
      </c>
      <c r="D65" s="26"/>
      <c r="E65" s="37">
        <f t="shared" si="5"/>
        <v>97.399732923665354</v>
      </c>
      <c r="F65" s="25">
        <f t="shared" si="6"/>
        <v>35.225416809173467</v>
      </c>
      <c r="G65" s="25">
        <f t="shared" si="7"/>
        <v>-14.125872736470681</v>
      </c>
      <c r="I65" s="32">
        <f t="shared" si="8"/>
        <v>0.9510735611959743</v>
      </c>
    </row>
    <row r="66" spans="1:9" x14ac:dyDescent="0.25">
      <c r="A66" s="25">
        <v>2017</v>
      </c>
      <c r="B66" s="25" t="s">
        <v>51</v>
      </c>
      <c r="C66" s="26">
        <v>39.5</v>
      </c>
      <c r="D66" s="26"/>
      <c r="E66" s="37">
        <f t="shared" si="5"/>
        <v>17.88272722062386</v>
      </c>
      <c r="F66" s="25">
        <f t="shared" si="6"/>
        <v>41.504243830760075</v>
      </c>
      <c r="G66" s="25">
        <f t="shared" si="7"/>
        <v>-12.085402760664952</v>
      </c>
      <c r="I66" s="32">
        <f t="shared" si="8"/>
        <v>0.87879162332444771</v>
      </c>
    </row>
    <row r="67" spans="1:9" x14ac:dyDescent="0.25">
      <c r="A67" s="25">
        <v>2017</v>
      </c>
      <c r="B67" s="25" t="s">
        <v>52</v>
      </c>
      <c r="C67" s="26">
        <v>70.2</v>
      </c>
      <c r="D67" s="26"/>
      <c r="E67" s="37">
        <f t="shared" si="5"/>
        <v>49.32126752871222</v>
      </c>
      <c r="F67" s="25">
        <f t="shared" si="6"/>
        <v>39.381733641098556</v>
      </c>
      <c r="G67" s="25">
        <f t="shared" si="7"/>
        <v>-11.089113503564608</v>
      </c>
      <c r="I67" s="32">
        <f t="shared" si="8"/>
        <v>1.7083295028893759</v>
      </c>
    </row>
    <row r="68" spans="1:9" x14ac:dyDescent="0.25">
      <c r="A68" s="25">
        <v>2017</v>
      </c>
      <c r="B68" s="25" t="s">
        <v>53</v>
      </c>
      <c r="C68" s="26">
        <v>68.05</v>
      </c>
      <c r="D68" s="26"/>
      <c r="E68" s="37">
        <f t="shared" si="5"/>
        <v>59.045631290270002</v>
      </c>
      <c r="F68" s="25">
        <f t="shared" si="6"/>
        <v>31.744285270627966</v>
      </c>
      <c r="G68" s="25">
        <f t="shared" si="7"/>
        <v>-10.743946990255205</v>
      </c>
      <c r="I68" s="32">
        <f t="shared" si="8"/>
        <v>2.1039814823752234</v>
      </c>
    </row>
    <row r="69" spans="1:9" x14ac:dyDescent="0.25">
      <c r="A69" s="25">
        <v>2017</v>
      </c>
      <c r="B69" s="25" t="s">
        <v>54</v>
      </c>
      <c r="C69" s="26">
        <v>63.3</v>
      </c>
      <c r="D69" s="26"/>
      <c r="E69" s="37">
        <f t="shared" si="5"/>
        <v>35.368474111033301</v>
      </c>
      <c r="F69" s="25">
        <f t="shared" si="6"/>
        <v>34.268006894265426</v>
      </c>
      <c r="G69" s="25">
        <f t="shared" si="7"/>
        <v>-9.4171801288659385</v>
      </c>
      <c r="I69" s="32">
        <f t="shared" si="8"/>
        <v>1.7330913513234758</v>
      </c>
    </row>
    <row r="70" spans="1:9" x14ac:dyDescent="0.25">
      <c r="A70" s="25">
        <v>2017</v>
      </c>
      <c r="B70" s="25" t="s">
        <v>55</v>
      </c>
      <c r="C70" s="26">
        <v>65.75</v>
      </c>
      <c r="D70" s="26"/>
      <c r="E70" s="37">
        <f t="shared" si="5"/>
        <v>40.089506000898069</v>
      </c>
      <c r="F70" s="25">
        <f t="shared" si="6"/>
        <v>37.576042008949166</v>
      </c>
      <c r="G70" s="25">
        <f t="shared" si="7"/>
        <v>-8.1446586045109708</v>
      </c>
      <c r="I70" s="32">
        <f t="shared" si="8"/>
        <v>1.6541798315352692</v>
      </c>
    </row>
    <row r="71" spans="1:9" x14ac:dyDescent="0.25">
      <c r="A71" s="25">
        <v>2017</v>
      </c>
      <c r="B71" s="25" t="s">
        <v>56</v>
      </c>
      <c r="C71" s="26">
        <v>59.8</v>
      </c>
      <c r="D71" s="26"/>
      <c r="E71" s="37">
        <f t="shared" si="5"/>
        <v>34.294794130848047</v>
      </c>
      <c r="F71" s="25">
        <f t="shared" si="6"/>
        <v>46.941994254122307</v>
      </c>
      <c r="G71" s="25">
        <f t="shared" si="7"/>
        <v>-6.3935975195425598</v>
      </c>
      <c r="I71" s="32">
        <f t="shared" si="8"/>
        <v>1.1978458110219898</v>
      </c>
    </row>
    <row r="72" spans="1:9" x14ac:dyDescent="0.25">
      <c r="A72" s="25">
        <v>2017</v>
      </c>
      <c r="B72" s="25" t="s">
        <v>57</v>
      </c>
      <c r="C72" s="26">
        <v>45.7</v>
      </c>
      <c r="D72" s="26"/>
      <c r="E72" s="37">
        <f t="shared" si="5"/>
        <v>32.693834054251809</v>
      </c>
      <c r="F72" s="25">
        <f t="shared" si="6"/>
        <v>53.453072910248856</v>
      </c>
      <c r="G72" s="25">
        <f t="shared" si="7"/>
        <v>-5.1031299019756489</v>
      </c>
      <c r="I72" s="32">
        <f t="shared" si="8"/>
        <v>0.82089081840572842</v>
      </c>
    </row>
    <row r="73" spans="1:9" x14ac:dyDescent="0.25">
      <c r="A73" s="25">
        <v>2017</v>
      </c>
      <c r="B73" s="25" t="s">
        <v>58</v>
      </c>
      <c r="C73" s="26">
        <v>1.7</v>
      </c>
      <c r="D73" s="26"/>
      <c r="E73" s="37">
        <f t="shared" si="5"/>
        <v>17.931299579194913</v>
      </c>
      <c r="F73" s="25">
        <f t="shared" si="6"/>
        <v>13.337091602239491</v>
      </c>
      <c r="G73" s="25">
        <f t="shared" si="7"/>
        <v>-8.6044150425790207</v>
      </c>
      <c r="I73" s="32">
        <f t="shared" si="8"/>
        <v>0.29784469204817238</v>
      </c>
    </row>
    <row r="74" spans="1:9" x14ac:dyDescent="0.25">
      <c r="A74" s="25">
        <v>2017</v>
      </c>
      <c r="B74" s="25" t="s">
        <v>59</v>
      </c>
      <c r="C74" s="26">
        <v>0.5</v>
      </c>
      <c r="D74" s="26"/>
      <c r="E74" s="37">
        <f t="shared" si="5"/>
        <v>5.2809805851906005E-2</v>
      </c>
      <c r="F74" s="25">
        <f t="shared" si="6"/>
        <v>36.79348822770131</v>
      </c>
      <c r="G74" s="25">
        <f t="shared" si="7"/>
        <v>-5.3983338757749362</v>
      </c>
      <c r="I74" s="32">
        <f t="shared" si="8"/>
        <v>1.1887793027733625E-2</v>
      </c>
    </row>
    <row r="75" spans="1:9" x14ac:dyDescent="0.25">
      <c r="A75" s="25">
        <v>2018</v>
      </c>
      <c r="B75" s="25" t="s">
        <v>48</v>
      </c>
      <c r="C75" s="26">
        <v>5.6</v>
      </c>
      <c r="D75" s="26"/>
      <c r="E75" s="37">
        <f t="shared" si="5"/>
        <v>3.0344095624815672</v>
      </c>
      <c r="F75" s="25">
        <f t="shared" si="6"/>
        <v>52.630813186021356</v>
      </c>
      <c r="G75" s="25">
        <f t="shared" si="7"/>
        <v>-3.274767992365438</v>
      </c>
      <c r="I75" s="32">
        <f t="shared" si="8"/>
        <v>9.9576978228019669E-2</v>
      </c>
    </row>
    <row r="76" spans="1:9" x14ac:dyDescent="0.25">
      <c r="A76" s="25">
        <v>2018</v>
      </c>
      <c r="B76" s="25" t="s">
        <v>49</v>
      </c>
      <c r="C76" s="26">
        <v>51.25</v>
      </c>
      <c r="D76" s="26"/>
      <c r="E76" s="37">
        <f t="shared" si="5"/>
        <v>9.2293150094756768</v>
      </c>
      <c r="F76" s="25">
        <f t="shared" si="6"/>
        <v>229.12885176327552</v>
      </c>
      <c r="G76" s="25">
        <f t="shared" si="7"/>
        <v>14.702512664596522</v>
      </c>
      <c r="I76" s="32">
        <f t="shared" si="8"/>
        <v>0.19799821695173342</v>
      </c>
    </row>
    <row r="77" spans="1:9" x14ac:dyDescent="0.25">
      <c r="A77" s="25">
        <v>2018</v>
      </c>
      <c r="B77" s="25" t="s">
        <v>50</v>
      </c>
      <c r="C77" s="26">
        <v>68.8</v>
      </c>
      <c r="D77" s="26"/>
      <c r="E77" s="37">
        <f t="shared" si="5"/>
        <v>231.90156409768969</v>
      </c>
      <c r="F77" s="25">
        <f t="shared" si="6"/>
        <v>106.63771653162343</v>
      </c>
      <c r="G77" s="25">
        <f t="shared" si="7"/>
        <v>0.98314787497166023</v>
      </c>
      <c r="I77" s="32">
        <f t="shared" si="8"/>
        <v>0.85930402444900811</v>
      </c>
    </row>
    <row r="78" spans="1:9" x14ac:dyDescent="0.25">
      <c r="A78" s="25">
        <v>2018</v>
      </c>
      <c r="B78" s="25" t="s">
        <v>51</v>
      </c>
      <c r="C78" s="26">
        <v>137.25</v>
      </c>
      <c r="D78" s="26"/>
      <c r="E78" s="37">
        <f t="shared" si="5"/>
        <v>94.57631413545198</v>
      </c>
      <c r="F78" s="25">
        <f t="shared" si="6"/>
        <v>146.468468076839</v>
      </c>
      <c r="G78" s="25">
        <f t="shared" si="7"/>
        <v>4.8679082419960515</v>
      </c>
      <c r="I78" s="32">
        <f t="shared" si="8"/>
        <v>0.89627266334276512</v>
      </c>
    </row>
    <row r="79" spans="1:9" x14ac:dyDescent="0.25">
      <c r="A79" s="25">
        <v>2018</v>
      </c>
      <c r="B79" s="25" t="s">
        <v>52</v>
      </c>
      <c r="C79" s="26">
        <v>118.9</v>
      </c>
      <c r="D79" s="26"/>
      <c r="E79" s="37">
        <f t="shared" ref="E79:E110" si="9">(F78+G78)*I67</f>
        <v>258.532396525835</v>
      </c>
      <c r="F79" s="25">
        <f t="shared" ref="F79:F110" si="10">$L$2*(C79/I67)+(1-$L$2)*(F78+G78)</f>
        <v>85.947400110360832</v>
      </c>
      <c r="G79" s="25">
        <f t="shared" ref="G79:G110" si="11">$L$3*(F79-F78)+(1-$L$3)*G78</f>
        <v>-1.6709893788513703</v>
      </c>
      <c r="I79" s="32">
        <f t="shared" ref="I79:I110" si="12">$L$4*(C79/F79)+(1-$L$4)*I67</f>
        <v>1.6108519319472367</v>
      </c>
    </row>
    <row r="80" spans="1:9" x14ac:dyDescent="0.25">
      <c r="A80" s="25">
        <v>2018</v>
      </c>
      <c r="B80" s="25" t="s">
        <v>53</v>
      </c>
      <c r="C80" s="26">
        <v>68.75</v>
      </c>
      <c r="D80" s="26"/>
      <c r="E80" s="37">
        <f t="shared" si="9"/>
        <v>177.31600758014446</v>
      </c>
      <c r="F80" s="25">
        <f t="shared" si="10"/>
        <v>42.996196627122075</v>
      </c>
      <c r="G80" s="25">
        <f t="shared" si="11"/>
        <v>-5.7990107892901097</v>
      </c>
      <c r="I80" s="32">
        <f t="shared" si="12"/>
        <v>1.95248062960678</v>
      </c>
    </row>
    <row r="81" spans="1:9" x14ac:dyDescent="0.25">
      <c r="A81" s="25">
        <v>2018</v>
      </c>
      <c r="B81" s="25" t="s">
        <v>54</v>
      </c>
      <c r="C81" s="26">
        <v>66.75</v>
      </c>
      <c r="D81" s="26"/>
      <c r="E81" s="37">
        <f t="shared" si="9"/>
        <v>64.466121069118657</v>
      </c>
      <c r="F81" s="25">
        <f t="shared" si="10"/>
        <v>38.251430983830645</v>
      </c>
      <c r="G81" s="25">
        <f t="shared" si="11"/>
        <v>-5.6935862746902419</v>
      </c>
      <c r="I81" s="32">
        <f t="shared" si="12"/>
        <v>1.7366737724859886</v>
      </c>
    </row>
    <row r="82" spans="1:9" x14ac:dyDescent="0.25">
      <c r="A82" s="25">
        <v>2018</v>
      </c>
      <c r="B82" s="25" t="s">
        <v>55</v>
      </c>
      <c r="C82" s="26">
        <v>74.849999999999994</v>
      </c>
      <c r="D82" s="26"/>
      <c r="E82" s="37">
        <f t="shared" si="9"/>
        <v>53.85653007611733</v>
      </c>
      <c r="F82" s="25">
        <f t="shared" si="10"/>
        <v>42.7107770680839</v>
      </c>
      <c r="G82" s="25">
        <f t="shared" si="11"/>
        <v>-4.6782930387958928</v>
      </c>
      <c r="I82" s="32">
        <f t="shared" si="12"/>
        <v>1.6836714091159122</v>
      </c>
    </row>
    <row r="83" spans="1:9" x14ac:dyDescent="0.25">
      <c r="A83" s="25">
        <v>2018</v>
      </c>
      <c r="B83" s="25" t="s">
        <v>56</v>
      </c>
      <c r="C83" s="26">
        <v>72.099999999999994</v>
      </c>
      <c r="D83" s="26"/>
      <c r="E83" s="37">
        <f t="shared" si="9"/>
        <v>45.557051677243365</v>
      </c>
      <c r="F83" s="25">
        <f t="shared" si="10"/>
        <v>55.7596058865564</v>
      </c>
      <c r="G83" s="25">
        <f t="shared" si="11"/>
        <v>-2.9055808530690532</v>
      </c>
      <c r="I83" s="32">
        <f t="shared" si="12"/>
        <v>1.2264072915784614</v>
      </c>
    </row>
    <row r="84" spans="1:9" x14ac:dyDescent="0.25">
      <c r="A84" s="25">
        <v>2018</v>
      </c>
      <c r="B84" s="25" t="s">
        <v>57</v>
      </c>
      <c r="C84" s="26">
        <v>63.05</v>
      </c>
      <c r="D84" s="26"/>
      <c r="E84" s="37">
        <f t="shared" si="9"/>
        <v>43.387383865776286</v>
      </c>
      <c r="F84" s="25">
        <f t="shared" si="10"/>
        <v>72.016248016963715</v>
      </c>
      <c r="G84" s="25">
        <f t="shared" si="11"/>
        <v>-0.98935855472141632</v>
      </c>
      <c r="I84" s="32">
        <f t="shared" si="12"/>
        <v>0.83727263501710647</v>
      </c>
    </row>
    <row r="85" spans="1:9" x14ac:dyDescent="0.25">
      <c r="A85" s="25">
        <v>2018</v>
      </c>
      <c r="B85" s="25" t="s">
        <v>58</v>
      </c>
      <c r="C85" s="26">
        <v>20.95</v>
      </c>
      <c r="D85" s="26"/>
      <c r="E85" s="37">
        <f t="shared" si="9"/>
        <v>21.154982019021137</v>
      </c>
      <c r="F85" s="25">
        <f t="shared" si="10"/>
        <v>70.476315221387978</v>
      </c>
      <c r="G85" s="25">
        <f t="shared" si="11"/>
        <v>-1.0444159788068486</v>
      </c>
      <c r="I85" s="32">
        <f t="shared" si="12"/>
        <v>0.29767018063816697</v>
      </c>
    </row>
    <row r="86" spans="1:9" x14ac:dyDescent="0.25">
      <c r="A86" s="25">
        <v>2018</v>
      </c>
      <c r="B86" s="25" t="s">
        <v>59</v>
      </c>
      <c r="C86" s="26">
        <v>0.15</v>
      </c>
      <c r="D86" s="26"/>
      <c r="E86" s="37">
        <f t="shared" si="9"/>
        <v>0.82539204771825947</v>
      </c>
      <c r="F86" s="25">
        <f t="shared" si="10"/>
        <v>23.980768245087901</v>
      </c>
      <c r="G86" s="25">
        <f t="shared" si="11"/>
        <v>-5.589529078556172</v>
      </c>
      <c r="I86" s="32">
        <f t="shared" si="12"/>
        <v>1.0197958805204235E-2</v>
      </c>
    </row>
    <row r="87" spans="1:9" x14ac:dyDescent="0.25">
      <c r="A87" s="25">
        <v>2019</v>
      </c>
      <c r="B87" s="25" t="s">
        <v>48</v>
      </c>
      <c r="C87" s="26">
        <v>6.75</v>
      </c>
      <c r="D87" s="26"/>
      <c r="E87" s="37">
        <f t="shared" si="9"/>
        <v>1.8313440220720327</v>
      </c>
      <c r="F87" s="25">
        <f t="shared" si="10"/>
        <v>57.907650011334177</v>
      </c>
      <c r="G87" s="25">
        <f t="shared" si="11"/>
        <v>-1.6378879940759274</v>
      </c>
      <c r="H87" s="25">
        <v>1</v>
      </c>
      <c r="I87" s="32">
        <f t="shared" si="12"/>
        <v>0.10467335769805367</v>
      </c>
    </row>
    <row r="88" spans="1:9" x14ac:dyDescent="0.25">
      <c r="A88" s="25">
        <v>2019</v>
      </c>
      <c r="B88" s="25" t="s">
        <v>49</v>
      </c>
      <c r="C88" s="26">
        <v>8.6999999999999993</v>
      </c>
      <c r="D88" s="26"/>
      <c r="E88" s="37">
        <f t="shared" si="9"/>
        <v>11.141312547715508</v>
      </c>
      <c r="F88" s="25">
        <f t="shared" si="10"/>
        <v>46.405784107555625</v>
      </c>
      <c r="G88" s="25">
        <f t="shared" si="11"/>
        <v>-2.6242857850461903</v>
      </c>
      <c r="H88" s="25">
        <v>2</v>
      </c>
      <c r="I88" s="32">
        <f t="shared" si="12"/>
        <v>0.19484174075636443</v>
      </c>
    </row>
    <row r="89" spans="1:9" x14ac:dyDescent="0.25">
      <c r="A89" s="25">
        <v>2019</v>
      </c>
      <c r="B89" s="25" t="s">
        <v>50</v>
      </c>
      <c r="C89" s="26">
        <v>33.6</v>
      </c>
      <c r="D89" s="26"/>
      <c r="E89" s="37">
        <f t="shared" si="9"/>
        <v>37.621617704939858</v>
      </c>
      <c r="F89" s="25">
        <f t="shared" si="10"/>
        <v>40.037428619106336</v>
      </c>
      <c r="G89" s="25">
        <f t="shared" si="11"/>
        <v>-2.9986927553865006</v>
      </c>
      <c r="H89" s="25">
        <v>3</v>
      </c>
      <c r="I89" s="32">
        <f t="shared" si="12"/>
        <v>0.85327723724966131</v>
      </c>
    </row>
    <row r="90" spans="1:9" x14ac:dyDescent="0.25">
      <c r="A90" s="25">
        <v>2019</v>
      </c>
      <c r="B90" s="25" t="s">
        <v>51</v>
      </c>
      <c r="C90" s="26">
        <v>69.2</v>
      </c>
      <c r="D90" s="26"/>
      <c r="E90" s="37">
        <f t="shared" si="9"/>
        <v>33.196806439425366</v>
      </c>
      <c r="F90" s="25">
        <f t="shared" si="10"/>
        <v>69.174665058566461</v>
      </c>
      <c r="G90" s="25">
        <f t="shared" si="11"/>
        <v>0.21490016409816182</v>
      </c>
      <c r="H90" s="25">
        <v>4</v>
      </c>
      <c r="I90" s="32">
        <f t="shared" si="12"/>
        <v>0.92750073812716138</v>
      </c>
    </row>
    <row r="91" spans="1:9" x14ac:dyDescent="0.25">
      <c r="A91" s="25">
        <v>2019</v>
      </c>
      <c r="B91" s="25" t="s">
        <v>52</v>
      </c>
      <c r="C91" s="26">
        <v>57.8</v>
      </c>
      <c r="D91" s="26"/>
      <c r="E91" s="37">
        <f t="shared" si="9"/>
        <v>111.77631519590811</v>
      </c>
      <c r="F91" s="25">
        <f t="shared" si="10"/>
        <v>42.583220517519578</v>
      </c>
      <c r="G91" s="25">
        <f t="shared" si="11"/>
        <v>-2.4657343064163428</v>
      </c>
      <c r="H91" s="25">
        <v>5</v>
      </c>
      <c r="I91" s="32">
        <f t="shared" si="12"/>
        <v>1.5347989967207414</v>
      </c>
    </row>
    <row r="92" spans="1:9" x14ac:dyDescent="0.25">
      <c r="A92" s="25">
        <v>2019</v>
      </c>
      <c r="B92" s="25" t="s">
        <v>53</v>
      </c>
      <c r="C92" s="26">
        <v>69.75</v>
      </c>
      <c r="D92" s="26"/>
      <c r="E92" s="37">
        <f t="shared" si="9"/>
        <v>78.328614735696164</v>
      </c>
      <c r="F92" s="25">
        <f t="shared" si="10"/>
        <v>36.602525967969306</v>
      </c>
      <c r="G92" s="25">
        <f t="shared" si="11"/>
        <v>-2.8172303307297359</v>
      </c>
      <c r="H92" s="25">
        <v>6</v>
      </c>
      <c r="I92" s="32">
        <f t="shared" si="12"/>
        <v>1.9384182972805304</v>
      </c>
    </row>
    <row r="93" spans="1:9" x14ac:dyDescent="0.25">
      <c r="A93" s="25">
        <v>2019</v>
      </c>
      <c r="B93" s="25" t="s">
        <v>54</v>
      </c>
      <c r="C93" s="26">
        <v>52</v>
      </c>
      <c r="D93" s="26"/>
      <c r="E93" s="37">
        <f t="shared" si="9"/>
        <v>58.67403682887926</v>
      </c>
      <c r="F93" s="25">
        <f t="shared" si="10"/>
        <v>30.71089585779194</v>
      </c>
      <c r="G93" s="25">
        <f t="shared" si="11"/>
        <v>-3.1246703086744989</v>
      </c>
      <c r="H93" s="25">
        <v>7</v>
      </c>
      <c r="I93" s="32">
        <f t="shared" si="12"/>
        <v>1.7236346800548521</v>
      </c>
    </row>
    <row r="94" spans="1:9" x14ac:dyDescent="0.25">
      <c r="A94" s="25">
        <v>2019</v>
      </c>
      <c r="B94" s="25" t="s">
        <v>55</v>
      </c>
      <c r="C94" s="26">
        <v>57.45</v>
      </c>
      <c r="D94" s="26"/>
      <c r="E94" s="37">
        <f t="shared" si="9"/>
        <v>46.446139242471936</v>
      </c>
      <c r="F94" s="25">
        <f t="shared" si="10"/>
        <v>32.814733058575541</v>
      </c>
      <c r="G94" s="25">
        <f t="shared" si="11"/>
        <v>-2.6018195577286889</v>
      </c>
      <c r="H94" s="25">
        <v>8</v>
      </c>
      <c r="I94" s="32">
        <f t="shared" si="12"/>
        <v>1.7037913852337474</v>
      </c>
    </row>
    <row r="95" spans="1:9" x14ac:dyDescent="0.25">
      <c r="A95" s="25">
        <v>2019</v>
      </c>
      <c r="B95" s="25" t="s">
        <v>56</v>
      </c>
      <c r="C95" s="26">
        <v>60.2</v>
      </c>
      <c r="D95" s="26"/>
      <c r="E95" s="37">
        <f t="shared" si="9"/>
        <v>37.053337417267919</v>
      </c>
      <c r="F95" s="25">
        <f t="shared" si="10"/>
        <v>45.311755617443147</v>
      </c>
      <c r="G95" s="25">
        <f t="shared" si="11"/>
        <v>-1.0919353460690595</v>
      </c>
      <c r="H95" s="25">
        <v>9</v>
      </c>
      <c r="I95" s="32">
        <f t="shared" si="12"/>
        <v>1.2570571689897285</v>
      </c>
    </row>
    <row r="96" spans="1:9" x14ac:dyDescent="0.25">
      <c r="A96" s="25">
        <v>2019</v>
      </c>
      <c r="B96" s="25" t="s">
        <v>57</v>
      </c>
      <c r="C96" s="26">
        <v>57.8</v>
      </c>
      <c r="D96" s="26"/>
      <c r="E96" s="37">
        <f t="shared" si="9"/>
        <v>37.024045438596247</v>
      </c>
      <c r="F96" s="25">
        <f t="shared" si="10"/>
        <v>64.070897392488192</v>
      </c>
      <c r="G96" s="25">
        <f t="shared" si="11"/>
        <v>0.89317236604235095</v>
      </c>
      <c r="H96" s="25">
        <v>10</v>
      </c>
      <c r="I96" s="32">
        <f t="shared" si="12"/>
        <v>0.85672853971667706</v>
      </c>
    </row>
    <row r="97" spans="1:11" x14ac:dyDescent="0.25">
      <c r="A97" s="25">
        <v>2019</v>
      </c>
      <c r="B97" s="25" t="s">
        <v>58</v>
      </c>
      <c r="C97" s="26">
        <v>11.3</v>
      </c>
      <c r="D97" s="26"/>
      <c r="E97" s="37">
        <f t="shared" si="9"/>
        <v>19.337866380012265</v>
      </c>
      <c r="F97" s="25">
        <f t="shared" si="10"/>
        <v>43.361996315285126</v>
      </c>
      <c r="G97" s="25">
        <f t="shared" si="11"/>
        <v>-1.267034978282191</v>
      </c>
      <c r="H97" s="25">
        <v>11</v>
      </c>
      <c r="I97" s="32">
        <f t="shared" si="12"/>
        <v>0.2865481838718249</v>
      </c>
    </row>
    <row r="98" spans="1:11" x14ac:dyDescent="0.25">
      <c r="A98" s="25">
        <v>2019</v>
      </c>
      <c r="B98" s="25" t="s">
        <v>59</v>
      </c>
      <c r="C98" s="26">
        <v>1.35</v>
      </c>
      <c r="D98" s="26"/>
      <c r="E98" s="38">
        <f t="shared" si="9"/>
        <v>0.42928268162142091</v>
      </c>
      <c r="F98" s="34">
        <f t="shared" si="10"/>
        <v>114.32253832299489</v>
      </c>
      <c r="G98" s="34">
        <f t="shared" si="11"/>
        <v>5.955722720317004</v>
      </c>
      <c r="H98" s="25">
        <v>12</v>
      </c>
      <c r="I98" s="35">
        <f t="shared" si="12"/>
        <v>1.06811796985913E-2</v>
      </c>
      <c r="K98" s="158" t="s">
        <v>500</v>
      </c>
    </row>
    <row r="99" spans="1:11" x14ac:dyDescent="0.25">
      <c r="A99" s="25">
        <v>2020</v>
      </c>
      <c r="B99" s="25" t="s">
        <v>48</v>
      </c>
      <c r="C99" s="26">
        <v>17.899999999999999</v>
      </c>
      <c r="D99" s="26">
        <v>1</v>
      </c>
      <c r="E99" s="28">
        <f>($F$98+$G$98*D99)*VLOOKUP(D99,H87:I98,2,FALSE)</f>
        <v>12.589929441486458</v>
      </c>
      <c r="F99" s="29"/>
      <c r="G99" s="29"/>
      <c r="H99" s="29">
        <v>1</v>
      </c>
      <c r="I99" s="30">
        <f>VLOOKUP(H99,H87:I98,2,FALSE)</f>
        <v>0.10467335769805367</v>
      </c>
      <c r="J99" s="25" t="s">
        <v>69</v>
      </c>
      <c r="K99" s="25">
        <f>C99-E99</f>
        <v>5.3100705585135408</v>
      </c>
    </row>
    <row r="100" spans="1:11" x14ac:dyDescent="0.25">
      <c r="A100" s="25">
        <v>2020</v>
      </c>
      <c r="B100" s="25" t="s">
        <v>49</v>
      </c>
      <c r="C100" s="26">
        <v>8.3000000000000007</v>
      </c>
      <c r="D100" s="26">
        <v>2</v>
      </c>
      <c r="E100" s="31">
        <f t="shared" ref="E100:E106" si="13">($F$98+$G$98*D100)*VLOOKUP(D100,H88:I99,2,FALSE)</f>
        <v>24.595649139116098</v>
      </c>
      <c r="H100" s="25">
        <v>2</v>
      </c>
      <c r="I100" s="32">
        <f t="shared" ref="I100:I106" si="14">VLOOKUP(H100,H88:I99,2,FALSE)</f>
        <v>0.19484174075636443</v>
      </c>
      <c r="K100" s="25">
        <f t="shared" ref="K100:K106" si="15">C100-E100</f>
        <v>-16.295649139116097</v>
      </c>
    </row>
    <row r="101" spans="1:11" x14ac:dyDescent="0.25">
      <c r="A101" s="25">
        <v>2020</v>
      </c>
      <c r="B101" s="25" t="s">
        <v>50</v>
      </c>
      <c r="C101" s="26">
        <v>71.099999999999994</v>
      </c>
      <c r="D101" s="26">
        <v>3</v>
      </c>
      <c r="E101" s="31">
        <f t="shared" si="13"/>
        <v>112.79446754146498</v>
      </c>
      <c r="H101" s="25">
        <v>3</v>
      </c>
      <c r="I101" s="32">
        <f t="shared" si="14"/>
        <v>0.85327723724966131</v>
      </c>
      <c r="K101" s="25">
        <f t="shared" si="15"/>
        <v>-41.694467541464988</v>
      </c>
    </row>
    <row r="102" spans="1:11" x14ac:dyDescent="0.25">
      <c r="A102" s="25">
        <v>2020</v>
      </c>
      <c r="B102" s="25" t="s">
        <v>51</v>
      </c>
      <c r="C102" s="26">
        <v>68.599999999999994</v>
      </c>
      <c r="D102" s="26">
        <v>4</v>
      </c>
      <c r="E102" s="31">
        <f t="shared" si="13"/>
        <v>128.12998755584738</v>
      </c>
      <c r="H102" s="25">
        <v>4</v>
      </c>
      <c r="I102" s="32">
        <f t="shared" si="14"/>
        <v>0.92750073812716138</v>
      </c>
      <c r="K102" s="25">
        <f t="shared" si="15"/>
        <v>-59.529987555847384</v>
      </c>
    </row>
    <row r="103" spans="1:11" x14ac:dyDescent="0.25">
      <c r="A103" s="25">
        <v>2020</v>
      </c>
      <c r="B103" s="25" t="s">
        <v>52</v>
      </c>
      <c r="C103" s="26">
        <v>61.3</v>
      </c>
      <c r="D103" s="26">
        <v>5</v>
      </c>
      <c r="E103" s="31">
        <f t="shared" si="13"/>
        <v>221.16630340014837</v>
      </c>
      <c r="H103" s="25">
        <v>5</v>
      </c>
      <c r="I103" s="32">
        <f t="shared" si="14"/>
        <v>1.5347989967207414</v>
      </c>
      <c r="K103" s="25">
        <f t="shared" si="15"/>
        <v>-159.86630340014835</v>
      </c>
    </row>
    <row r="104" spans="1:11" x14ac:dyDescent="0.25">
      <c r="A104" s="25">
        <v>2020</v>
      </c>
      <c r="B104" s="25" t="s">
        <v>53</v>
      </c>
      <c r="C104" s="26">
        <v>76.650000000000006</v>
      </c>
      <c r="D104" s="26">
        <v>6</v>
      </c>
      <c r="E104" s="31">
        <f t="shared" si="13"/>
        <v>290.87299144439908</v>
      </c>
      <c r="H104" s="25">
        <v>6</v>
      </c>
      <c r="I104" s="32">
        <f t="shared" si="14"/>
        <v>1.9384182972805304</v>
      </c>
      <c r="K104" s="25">
        <f t="shared" si="15"/>
        <v>-214.22299144439907</v>
      </c>
    </row>
    <row r="105" spans="1:11" x14ac:dyDescent="0.25">
      <c r="A105" s="25">
        <v>2020</v>
      </c>
      <c r="B105" s="25" t="s">
        <v>54</v>
      </c>
      <c r="C105" s="26">
        <v>53.75</v>
      </c>
      <c r="D105" s="26">
        <v>7</v>
      </c>
      <c r="E105" s="31">
        <f t="shared" si="13"/>
        <v>268.90872334411694</v>
      </c>
      <c r="H105" s="25">
        <v>7</v>
      </c>
      <c r="I105" s="32">
        <f t="shared" si="14"/>
        <v>1.7236346800548521</v>
      </c>
      <c r="K105" s="25">
        <f t="shared" si="15"/>
        <v>-215.15872334411694</v>
      </c>
    </row>
    <row r="106" spans="1:11" x14ac:dyDescent="0.25">
      <c r="A106" s="25">
        <v>2020</v>
      </c>
      <c r="B106" s="25" t="s">
        <v>55</v>
      </c>
      <c r="C106" s="26">
        <v>59.25</v>
      </c>
      <c r="D106" s="26">
        <v>8</v>
      </c>
      <c r="E106" s="33">
        <f t="shared" si="13"/>
        <v>275.96022844250973</v>
      </c>
      <c r="F106" s="34"/>
      <c r="G106" s="34"/>
      <c r="H106" s="34">
        <v>8</v>
      </c>
      <c r="I106" s="35">
        <f t="shared" si="14"/>
        <v>1.7037913852337474</v>
      </c>
      <c r="K106" s="25">
        <f t="shared" si="15"/>
        <v>-216.71022844250973</v>
      </c>
    </row>
    <row r="107" spans="1:11" x14ac:dyDescent="0.25">
      <c r="J107" s="159" t="s">
        <v>501</v>
      </c>
      <c r="K107" s="25">
        <f>AVERAGE(K99:K106)</f>
        <v>-114.77103503863614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orkbookViewId="0">
      <pane ySplit="3165" topLeftCell="A93" activePane="bottomLeft"/>
      <selection activeCell="G3" sqref="G3:G5"/>
      <selection pane="bottomLeft" activeCell="G107" sqref="G107"/>
    </sheetView>
  </sheetViews>
  <sheetFormatPr defaultColWidth="9.140625" defaultRowHeight="15" x14ac:dyDescent="0.25"/>
  <cols>
    <col min="1" max="1" width="9.140625" style="25"/>
    <col min="2" max="2" width="10.5703125" style="25" bestFit="1" customWidth="1"/>
    <col min="3" max="3" width="29.85546875" style="25" bestFit="1" customWidth="1"/>
    <col min="4" max="5" width="9.140625" style="25"/>
    <col min="6" max="6" width="12.28515625" style="25" bestFit="1" customWidth="1"/>
    <col min="7" max="16384" width="9.140625" style="25"/>
  </cols>
  <sheetData>
    <row r="1" spans="1:7" x14ac:dyDescent="0.25">
      <c r="A1" s="25" t="s">
        <v>44</v>
      </c>
    </row>
    <row r="2" spans="1:7" x14ac:dyDescent="0.25">
      <c r="A2" s="25" t="s">
        <v>45</v>
      </c>
      <c r="B2" s="25" t="s">
        <v>46</v>
      </c>
      <c r="C2" s="25" t="s">
        <v>47</v>
      </c>
      <c r="F2" s="25" t="s">
        <v>70</v>
      </c>
      <c r="G2" s="25">
        <v>3</v>
      </c>
    </row>
    <row r="3" spans="1:7" x14ac:dyDescent="0.25">
      <c r="A3" s="25">
        <v>2012</v>
      </c>
      <c r="B3" s="25" t="s">
        <v>48</v>
      </c>
      <c r="C3" s="26">
        <v>14.4</v>
      </c>
      <c r="F3" s="25" t="s">
        <v>71</v>
      </c>
      <c r="G3" s="27">
        <v>2.9078021378339338E-2</v>
      </c>
    </row>
    <row r="4" spans="1:7" x14ac:dyDescent="0.25">
      <c r="A4" s="25">
        <v>2012</v>
      </c>
      <c r="B4" s="25" t="s">
        <v>49</v>
      </c>
      <c r="C4" s="26">
        <v>11.5</v>
      </c>
      <c r="F4" s="25" t="s">
        <v>72</v>
      </c>
      <c r="G4" s="27">
        <v>0.29333075931501862</v>
      </c>
    </row>
    <row r="5" spans="1:7" x14ac:dyDescent="0.25">
      <c r="A5" s="25">
        <v>2012</v>
      </c>
      <c r="B5" s="25" t="s">
        <v>50</v>
      </c>
      <c r="C5" s="26">
        <v>61.8</v>
      </c>
      <c r="F5" s="25" t="s">
        <v>73</v>
      </c>
      <c r="G5" s="27">
        <v>0.67759214150690072</v>
      </c>
    </row>
    <row r="6" spans="1:7" x14ac:dyDescent="0.25">
      <c r="A6" s="25">
        <v>2012</v>
      </c>
      <c r="B6" s="25" t="s">
        <v>51</v>
      </c>
      <c r="C6" s="26">
        <v>37.450000000000003</v>
      </c>
      <c r="D6" s="25">
        <f>SUMPRODUCT(C3:C5,$G$3:$G$5)</f>
        <v>45.667221585097259</v>
      </c>
      <c r="G6" s="25">
        <f>SUM(G3:G5)</f>
        <v>1.0000009222002586</v>
      </c>
    </row>
    <row r="7" spans="1:7" x14ac:dyDescent="0.25">
      <c r="A7" s="25">
        <v>2012</v>
      </c>
      <c r="B7" s="25" t="s">
        <v>52</v>
      </c>
      <c r="C7" s="26">
        <v>94.5</v>
      </c>
      <c r="D7" s="25">
        <f t="shared" ref="D7:D70" si="0">SUMPRODUCT(C4:C6,$G$3:$G$5)</f>
        <v>43.838063870952482</v>
      </c>
    </row>
    <row r="8" spans="1:7" x14ac:dyDescent="0.25">
      <c r="A8" s="25">
        <v>2012</v>
      </c>
      <c r="B8" s="25" t="s">
        <v>53</v>
      </c>
      <c r="C8" s="26">
        <v>104.25</v>
      </c>
      <c r="D8" s="25">
        <f t="shared" si="0"/>
        <v>76.814716029930935</v>
      </c>
    </row>
    <row r="9" spans="1:7" x14ac:dyDescent="0.25">
      <c r="A9" s="25">
        <v>2012</v>
      </c>
      <c r="B9" s="25" t="s">
        <v>54</v>
      </c>
      <c r="C9" s="26">
        <v>82.2</v>
      </c>
      <c r="D9" s="25">
        <f t="shared" si="0"/>
        <v>99.447709407982472</v>
      </c>
    </row>
    <row r="10" spans="1:7" x14ac:dyDescent="0.25">
      <c r="A10" s="25">
        <v>2012</v>
      </c>
      <c r="B10" s="25" t="s">
        <v>55</v>
      </c>
      <c r="C10" s="26">
        <v>74.45</v>
      </c>
      <c r="D10" s="25">
        <f t="shared" si="0"/>
        <v>89.025678710711006</v>
      </c>
    </row>
    <row r="11" spans="1:7" x14ac:dyDescent="0.25">
      <c r="A11" s="25">
        <v>2012</v>
      </c>
      <c r="B11" s="25" t="s">
        <v>56</v>
      </c>
      <c r="C11" s="26">
        <v>54.25</v>
      </c>
      <c r="D11" s="25">
        <f t="shared" si="0"/>
        <v>77.58990707957517</v>
      </c>
    </row>
    <row r="12" spans="1:7" x14ac:dyDescent="0.25">
      <c r="A12" s="25">
        <v>2012</v>
      </c>
      <c r="B12" s="25" t="s">
        <v>57</v>
      </c>
      <c r="C12" s="26">
        <v>40.200000000000003</v>
      </c>
      <c r="D12" s="25">
        <f t="shared" si="0"/>
        <v>60.988062065051992</v>
      </c>
    </row>
    <row r="13" spans="1:7" x14ac:dyDescent="0.25">
      <c r="A13" s="25">
        <v>2012</v>
      </c>
      <c r="B13" s="25" t="s">
        <v>58</v>
      </c>
      <c r="C13" s="26">
        <v>17.600000000000001</v>
      </c>
      <c r="D13" s="25">
        <f t="shared" si="0"/>
        <v>45.317256473034533</v>
      </c>
    </row>
    <row r="14" spans="1:7" x14ac:dyDescent="0.25">
      <c r="A14" s="25">
        <v>2012</v>
      </c>
      <c r="B14" s="25" t="s">
        <v>59</v>
      </c>
      <c r="C14" s="26">
        <v>0.45</v>
      </c>
      <c r="D14" s="25">
        <f t="shared" si="0"/>
        <v>25.295000874760113</v>
      </c>
    </row>
    <row r="15" spans="1:7" x14ac:dyDescent="0.25">
      <c r="A15" s="25">
        <v>2013</v>
      </c>
      <c r="B15" s="25" t="s">
        <v>48</v>
      </c>
      <c r="C15" s="26">
        <v>4.75</v>
      </c>
      <c r="D15" s="25">
        <f t="shared" si="0"/>
        <v>6.6364742870316746</v>
      </c>
    </row>
    <row r="16" spans="1:7" x14ac:dyDescent="0.25">
      <c r="A16" s="25">
        <v>2013</v>
      </c>
      <c r="B16" s="25" t="s">
        <v>49</v>
      </c>
      <c r="C16" s="26">
        <v>19.7</v>
      </c>
      <c r="D16" s="25">
        <f t="shared" si="0"/>
        <v>3.8623346901083089</v>
      </c>
    </row>
    <row r="17" spans="1:4" x14ac:dyDescent="0.25">
      <c r="A17" s="25">
        <v>2013</v>
      </c>
      <c r="B17" s="25" t="s">
        <v>50</v>
      </c>
      <c r="C17" s="26">
        <v>25.3</v>
      </c>
      <c r="D17" s="25">
        <f t="shared" si="0"/>
        <v>14.754971404052535</v>
      </c>
    </row>
    <row r="18" spans="1:4" x14ac:dyDescent="0.25">
      <c r="A18" s="25">
        <v>2013</v>
      </c>
      <c r="B18" s="25" t="s">
        <v>51</v>
      </c>
      <c r="C18" s="26">
        <v>22.25</v>
      </c>
      <c r="D18" s="25">
        <f t="shared" si="0"/>
        <v>23.059817740177568</v>
      </c>
    </row>
    <row r="19" spans="1:4" x14ac:dyDescent="0.25">
      <c r="A19" s="25">
        <v>2013</v>
      </c>
      <c r="B19" s="25" t="s">
        <v>52</v>
      </c>
      <c r="C19" s="26">
        <v>59.6</v>
      </c>
      <c r="D19" s="25">
        <f t="shared" si="0"/>
        <v>23.070530380351798</v>
      </c>
    </row>
    <row r="20" spans="1:4" x14ac:dyDescent="0.25">
      <c r="A20" s="25">
        <v>2013</v>
      </c>
      <c r="B20" s="25" t="s">
        <v>53</v>
      </c>
      <c r="C20" s="26">
        <v>83.5</v>
      </c>
      <c r="D20" s="25">
        <f t="shared" si="0"/>
        <v>47.646774969442433</v>
      </c>
    </row>
    <row r="21" spans="1:4" x14ac:dyDescent="0.25">
      <c r="A21" s="25">
        <v>2013</v>
      </c>
      <c r="B21" s="25" t="s">
        <v>54</v>
      </c>
      <c r="C21" s="26">
        <v>63.75</v>
      </c>
      <c r="D21" s="25">
        <f t="shared" si="0"/>
        <v>74.708443046669373</v>
      </c>
    </row>
    <row r="22" spans="1:4" x14ac:dyDescent="0.25">
      <c r="A22" s="25">
        <v>2013</v>
      </c>
      <c r="B22" s="25" t="s">
        <v>55</v>
      </c>
      <c r="C22" s="26">
        <v>56.55</v>
      </c>
      <c r="D22" s="25">
        <f t="shared" si="0"/>
        <v>69.422667498018001</v>
      </c>
    </row>
    <row r="23" spans="1:4" x14ac:dyDescent="0.25">
      <c r="A23" s="25">
        <v>2013</v>
      </c>
      <c r="B23" s="25" t="s">
        <v>56</v>
      </c>
      <c r="C23" s="26">
        <v>54.05</v>
      </c>
      <c r="D23" s="25">
        <f t="shared" si="0"/>
        <v>59.445686293639007</v>
      </c>
    </row>
    <row r="24" spans="1:4" x14ac:dyDescent="0.25">
      <c r="A24" s="25">
        <v>2013</v>
      </c>
      <c r="B24" s="25" t="s">
        <v>57</v>
      </c>
      <c r="C24" s="26">
        <v>34.6</v>
      </c>
      <c r="D24" s="25">
        <f t="shared" si="0"/>
        <v>55.065433550581417</v>
      </c>
    </row>
    <row r="25" spans="1:4" x14ac:dyDescent="0.25">
      <c r="A25" s="25">
        <v>2013</v>
      </c>
      <c r="B25" s="25" t="s">
        <v>58</v>
      </c>
      <c r="C25" s="26">
        <v>16.399999999999999</v>
      </c>
      <c r="D25" s="25">
        <f t="shared" si="0"/>
        <v>40.943577746060612</v>
      </c>
    </row>
    <row r="26" spans="1:4" x14ac:dyDescent="0.25">
      <c r="A26" s="25">
        <v>2013</v>
      </c>
      <c r="B26" s="25" t="s">
        <v>59</v>
      </c>
      <c r="C26" s="26">
        <v>2.85</v>
      </c>
      <c r="D26" s="25">
        <f t="shared" si="0"/>
        <v>22.833422448512056</v>
      </c>
    </row>
    <row r="27" spans="1:4" x14ac:dyDescent="0.25">
      <c r="A27" s="25">
        <v>2014</v>
      </c>
      <c r="B27" s="25" t="s">
        <v>48</v>
      </c>
      <c r="C27" s="26">
        <v>2.35</v>
      </c>
      <c r="D27" s="25">
        <f t="shared" si="0"/>
        <v>7.7478615957515133</v>
      </c>
    </row>
    <row r="28" spans="1:4" x14ac:dyDescent="0.25">
      <c r="A28" s="25">
        <v>2014</v>
      </c>
      <c r="B28" s="25" t="s">
        <v>49</v>
      </c>
      <c r="C28" s="26">
        <v>11.75</v>
      </c>
      <c r="D28" s="25">
        <f t="shared" si="0"/>
        <v>2.9052137471937849</v>
      </c>
    </row>
    <row r="29" spans="1:4" x14ac:dyDescent="0.25">
      <c r="A29" s="25">
        <v>2014</v>
      </c>
      <c r="B29" s="25" t="s">
        <v>50</v>
      </c>
      <c r="C29" s="26">
        <v>25.05</v>
      </c>
      <c r="D29" s="25">
        <f t="shared" si="0"/>
        <v>8.7339073080246443</v>
      </c>
    </row>
    <row r="30" spans="1:4" x14ac:dyDescent="0.25">
      <c r="A30" s="25">
        <v>2014</v>
      </c>
      <c r="B30" s="25" t="s">
        <v>51</v>
      </c>
      <c r="C30" s="26">
        <v>45.4</v>
      </c>
      <c r="D30" s="25">
        <f t="shared" si="0"/>
        <v>20.488652916938427</v>
      </c>
    </row>
    <row r="31" spans="1:4" x14ac:dyDescent="0.25">
      <c r="A31" s="25">
        <v>2014</v>
      </c>
      <c r="B31" s="25" t="s">
        <v>52</v>
      </c>
      <c r="C31" s="26">
        <v>61.5</v>
      </c>
      <c r="D31" s="25">
        <f t="shared" si="0"/>
        <v>38.452285496449996</v>
      </c>
    </row>
    <row r="32" spans="1:4" x14ac:dyDescent="0.25">
      <c r="A32" s="25">
        <v>2014</v>
      </c>
      <c r="B32" s="25" t="s">
        <v>53</v>
      </c>
      <c r="C32" s="26">
        <v>83.9</v>
      </c>
      <c r="D32" s="25">
        <f t="shared" si="0"/>
        <v>55.717537611103637</v>
      </c>
    </row>
    <row r="33" spans="1:4" x14ac:dyDescent="0.25">
      <c r="A33" s="25">
        <v>2014</v>
      </c>
      <c r="B33" s="25" t="s">
        <v>54</v>
      </c>
      <c r="C33" s="26">
        <v>52.4</v>
      </c>
      <c r="D33" s="25">
        <f t="shared" si="0"/>
        <v>76.209964540879227</v>
      </c>
    </row>
    <row r="34" spans="1:4" x14ac:dyDescent="0.25">
      <c r="A34" s="25">
        <v>2014</v>
      </c>
      <c r="B34" s="25" t="s">
        <v>55</v>
      </c>
      <c r="C34" s="26">
        <v>57.6</v>
      </c>
      <c r="D34" s="25">
        <f t="shared" si="0"/>
        <v>61.904577236259527</v>
      </c>
    </row>
    <row r="35" spans="1:4" x14ac:dyDescent="0.25">
      <c r="A35" s="25">
        <v>2014</v>
      </c>
      <c r="B35" s="25" t="s">
        <v>56</v>
      </c>
      <c r="C35" s="26">
        <v>63.85</v>
      </c>
      <c r="D35" s="25">
        <f t="shared" si="0"/>
        <v>56.839485132547125</v>
      </c>
    </row>
    <row r="36" spans="1:4" x14ac:dyDescent="0.25">
      <c r="A36" s="25">
        <v>2014</v>
      </c>
      <c r="B36" s="25" t="s">
        <v>57</v>
      </c>
      <c r="C36" s="26">
        <v>30.9</v>
      </c>
      <c r="D36" s="25">
        <f t="shared" si="0"/>
        <v>61.683798291985667</v>
      </c>
    </row>
    <row r="37" spans="1:4" x14ac:dyDescent="0.25">
      <c r="A37" s="25">
        <v>2014</v>
      </c>
      <c r="B37" s="25" t="s">
        <v>58</v>
      </c>
      <c r="C37" s="26">
        <v>34.299999999999997</v>
      </c>
      <c r="D37" s="25">
        <f t="shared" si="0"/>
        <v>41.341660186219514</v>
      </c>
    </row>
    <row r="38" spans="1:4" x14ac:dyDescent="0.25">
      <c r="A38" s="25">
        <v>2014</v>
      </c>
      <c r="B38" s="25" t="s">
        <v>59</v>
      </c>
      <c r="C38" s="26">
        <v>2</v>
      </c>
      <c r="D38" s="25">
        <f t="shared" si="0"/>
        <v>34.161962581527732</v>
      </c>
    </row>
    <row r="39" spans="1:4" x14ac:dyDescent="0.25">
      <c r="A39" s="25">
        <v>2015</v>
      </c>
      <c r="B39" s="25" t="s">
        <v>48</v>
      </c>
      <c r="C39" s="26">
        <v>3.55</v>
      </c>
      <c r="D39" s="25">
        <f t="shared" si="0"/>
        <v>12.314940188109624</v>
      </c>
    </row>
    <row r="40" spans="1:4" x14ac:dyDescent="0.25">
      <c r="A40" s="25">
        <v>2015</v>
      </c>
      <c r="B40" s="25" t="s">
        <v>49</v>
      </c>
      <c r="C40" s="26">
        <v>5.15</v>
      </c>
      <c r="D40" s="25">
        <f t="shared" si="0"/>
        <v>3.9894897542565735</v>
      </c>
    </row>
    <row r="41" spans="1:4" x14ac:dyDescent="0.25">
      <c r="A41" s="25">
        <v>2015</v>
      </c>
      <c r="B41" s="25" t="s">
        <v>50</v>
      </c>
      <c r="C41" s="26">
        <v>28.55</v>
      </c>
      <c r="D41" s="25">
        <f t="shared" si="0"/>
        <v>4.5890797670855337</v>
      </c>
    </row>
    <row r="42" spans="1:4" x14ac:dyDescent="0.25">
      <c r="A42" s="25">
        <v>2015</v>
      </c>
      <c r="B42" s="25" t="s">
        <v>51</v>
      </c>
      <c r="C42" s="26">
        <v>37.35</v>
      </c>
      <c r="D42" s="25">
        <f t="shared" si="0"/>
        <v>20.959136026387469</v>
      </c>
    </row>
    <row r="43" spans="1:4" x14ac:dyDescent="0.25">
      <c r="A43" s="25">
        <v>2015</v>
      </c>
      <c r="B43" s="25" t="s">
        <v>52</v>
      </c>
      <c r="C43" s="26">
        <v>48.45</v>
      </c>
      <c r="D43" s="25">
        <f t="shared" si="0"/>
        <v>33.832411473824976</v>
      </c>
    </row>
    <row r="44" spans="1:4" x14ac:dyDescent="0.25">
      <c r="A44" s="25">
        <v>2015</v>
      </c>
      <c r="B44" s="25" t="s">
        <v>53</v>
      </c>
      <c r="C44" s="26">
        <v>64.099999999999994</v>
      </c>
      <c r="D44" s="25">
        <f t="shared" si="0"/>
        <v>44.615420626776874</v>
      </c>
    </row>
    <row r="45" spans="1:4" x14ac:dyDescent="0.25">
      <c r="A45" s="25">
        <v>2015</v>
      </c>
      <c r="B45" s="25" t="s">
        <v>54</v>
      </c>
      <c r="C45" s="26">
        <v>48.9</v>
      </c>
      <c r="D45" s="25">
        <f t="shared" si="0"/>
        <v>58.731595657885961</v>
      </c>
    </row>
    <row r="46" spans="1:4" x14ac:dyDescent="0.25">
      <c r="A46" s="25">
        <v>2015</v>
      </c>
      <c r="B46" s="25" t="s">
        <v>55</v>
      </c>
      <c r="C46" s="26">
        <v>63.75</v>
      </c>
      <c r="D46" s="25">
        <f t="shared" si="0"/>
        <v>53.345587527560681</v>
      </c>
    </row>
    <row r="47" spans="1:4" x14ac:dyDescent="0.25">
      <c r="A47" s="25">
        <v>2015</v>
      </c>
      <c r="B47" s="25" t="s">
        <v>56</v>
      </c>
      <c r="C47" s="26">
        <v>52.6</v>
      </c>
      <c r="D47" s="25">
        <f t="shared" si="0"/>
        <v>59.40427432192088</v>
      </c>
    </row>
    <row r="48" spans="1:4" x14ac:dyDescent="0.25">
      <c r="A48" s="25">
        <v>2015</v>
      </c>
      <c r="B48" s="25" t="s">
        <v>57</v>
      </c>
      <c r="C48" s="26">
        <v>56.2</v>
      </c>
      <c r="D48" s="25">
        <f t="shared" si="0"/>
        <v>55.763097794996213</v>
      </c>
    </row>
    <row r="49" spans="1:4" x14ac:dyDescent="0.25">
      <c r="A49" s="25">
        <v>2015</v>
      </c>
      <c r="B49" s="25" t="s">
        <v>58</v>
      </c>
      <c r="C49" s="26">
        <v>24.85</v>
      </c>
      <c r="D49" s="25">
        <f t="shared" si="0"/>
        <v>55.363600155526932</v>
      </c>
    </row>
    <row r="50" spans="1:4" x14ac:dyDescent="0.25">
      <c r="A50" s="25">
        <v>2015</v>
      </c>
      <c r="B50" s="25" t="s">
        <v>59</v>
      </c>
      <c r="C50" s="26">
        <v>1.5</v>
      </c>
      <c r="D50" s="25">
        <f t="shared" si="0"/>
        <v>34.852857314451185</v>
      </c>
    </row>
    <row r="51" spans="1:4" x14ac:dyDescent="0.25">
      <c r="A51" s="25">
        <v>2016</v>
      </c>
      <c r="B51" s="25" t="s">
        <v>48</v>
      </c>
      <c r="C51" s="26">
        <v>2.65</v>
      </c>
      <c r="D51" s="25">
        <f t="shared" si="0"/>
        <v>9.9398423827012348</v>
      </c>
    </row>
    <row r="52" spans="1:4" x14ac:dyDescent="0.25">
      <c r="A52" s="25">
        <v>2016</v>
      </c>
      <c r="B52" s="25" t="s">
        <v>49</v>
      </c>
      <c r="C52" s="26">
        <v>9.15</v>
      </c>
      <c r="D52" s="25">
        <f t="shared" si="0"/>
        <v>2.9582041452175476</v>
      </c>
    </row>
    <row r="53" spans="1:4" x14ac:dyDescent="0.25">
      <c r="A53" s="25">
        <v>2016</v>
      </c>
      <c r="B53" s="25" t="s">
        <v>50</v>
      </c>
      <c r="C53" s="26">
        <v>52.15</v>
      </c>
      <c r="D53" s="25">
        <f t="shared" si="0"/>
        <v>7.0209116390404507</v>
      </c>
    </row>
    <row r="54" spans="1:4" x14ac:dyDescent="0.25">
      <c r="A54" s="25">
        <v>2016</v>
      </c>
      <c r="B54" s="25" t="s">
        <v>51</v>
      </c>
      <c r="C54" s="26">
        <v>82.9</v>
      </c>
      <c r="D54" s="25">
        <f t="shared" si="0"/>
        <v>38.097463383969895</v>
      </c>
    </row>
    <row r="55" spans="1:4" x14ac:dyDescent="0.25">
      <c r="A55" s="25">
        <v>2016</v>
      </c>
      <c r="B55" s="25" t="s">
        <v>52</v>
      </c>
      <c r="C55" s="26">
        <v>65.55</v>
      </c>
      <c r="D55" s="25">
        <f t="shared" si="0"/>
        <v>71.735651524812099</v>
      </c>
    </row>
    <row r="56" spans="1:4" x14ac:dyDescent="0.25">
      <c r="A56" s="25">
        <v>2016</v>
      </c>
      <c r="B56" s="25" t="s">
        <v>53</v>
      </c>
      <c r="C56" s="26">
        <v>55.05</v>
      </c>
      <c r="D56" s="25">
        <f t="shared" si="0"/>
        <v>70.249703637872784</v>
      </c>
    </row>
    <row r="57" spans="1:4" x14ac:dyDescent="0.25">
      <c r="A57" s="25">
        <v>2016</v>
      </c>
      <c r="B57" s="25" t="s">
        <v>54</v>
      </c>
      <c r="C57" s="26">
        <v>54.25</v>
      </c>
      <c r="D57" s="25">
        <f t="shared" si="0"/>
        <v>58.939846635318681</v>
      </c>
    </row>
    <row r="58" spans="1:4" x14ac:dyDescent="0.25">
      <c r="A58" s="25">
        <v>2016</v>
      </c>
      <c r="B58" s="25" t="s">
        <v>55</v>
      </c>
      <c r="C58" s="26">
        <v>86.7</v>
      </c>
      <c r="D58" s="25">
        <f t="shared" si="0"/>
        <v>54.813296278391277</v>
      </c>
    </row>
    <row r="59" spans="1:4" x14ac:dyDescent="0.25">
      <c r="A59" s="25">
        <v>2016</v>
      </c>
      <c r="B59" s="25" t="s">
        <v>56</v>
      </c>
      <c r="C59" s="26">
        <v>65.45</v>
      </c>
      <c r="D59" s="25">
        <f t="shared" si="0"/>
        <v>76.261177438365635</v>
      </c>
    </row>
    <row r="60" spans="1:4" x14ac:dyDescent="0.25">
      <c r="A60" s="25">
        <v>2016</v>
      </c>
      <c r="B60" s="25" t="s">
        <v>57</v>
      </c>
      <c r="C60" s="26">
        <v>41.05</v>
      </c>
      <c r="D60" s="25">
        <f t="shared" si="0"/>
        <v>71.357665154013688</v>
      </c>
    </row>
    <row r="61" spans="1:4" x14ac:dyDescent="0.25">
      <c r="A61" s="25">
        <v>2016</v>
      </c>
      <c r="B61" s="25" t="s">
        <v>58</v>
      </c>
      <c r="C61" s="26">
        <v>18.649999999999999</v>
      </c>
      <c r="D61" s="25">
        <f t="shared" si="0"/>
        <v>49.534720059528262</v>
      </c>
    </row>
    <row r="62" spans="1:4" x14ac:dyDescent="0.25">
      <c r="A62" s="25">
        <v>2016</v>
      </c>
      <c r="B62" s="25" t="s">
        <v>59</v>
      </c>
      <c r="C62" s="26">
        <v>16.05</v>
      </c>
      <c r="D62" s="25">
        <f t="shared" si="0"/>
        <v>26.58147760819752</v>
      </c>
    </row>
    <row r="63" spans="1:4" x14ac:dyDescent="0.25">
      <c r="A63" s="25">
        <v>2017</v>
      </c>
      <c r="B63" s="25" t="s">
        <v>48</v>
      </c>
      <c r="C63" s="26">
        <v>5.9</v>
      </c>
      <c r="D63" s="25">
        <f t="shared" si="0"/>
        <v>17.539625309991685</v>
      </c>
    </row>
    <row r="64" spans="1:4" x14ac:dyDescent="0.25">
      <c r="A64" s="25">
        <v>2017</v>
      </c>
      <c r="B64" s="25" t="s">
        <v>49</v>
      </c>
      <c r="C64" s="26">
        <v>9.6999999999999993</v>
      </c>
      <c r="D64" s="25">
        <f t="shared" si="0"/>
        <v>9.2480574206027928</v>
      </c>
    </row>
    <row r="65" spans="1:4" x14ac:dyDescent="0.25">
      <c r="A65" s="25">
        <v>2017</v>
      </c>
      <c r="B65" s="25" t="s">
        <v>50</v>
      </c>
      <c r="C65" s="26">
        <v>23.1</v>
      </c>
      <c r="D65" s="25">
        <f t="shared" si="0"/>
        <v>8.7699974956978934</v>
      </c>
    </row>
    <row r="66" spans="1:4" x14ac:dyDescent="0.25">
      <c r="A66" s="25">
        <v>2017</v>
      </c>
      <c r="B66" s="25" t="s">
        <v>51</v>
      </c>
      <c r="C66" s="26">
        <v>39.5</v>
      </c>
      <c r="D66" s="25">
        <f t="shared" si="0"/>
        <v>18.669247160297289</v>
      </c>
    </row>
    <row r="67" spans="1:4" x14ac:dyDescent="0.25">
      <c r="A67" s="25">
        <v>2017</v>
      </c>
      <c r="B67" s="25" t="s">
        <v>52</v>
      </c>
      <c r="C67" s="26">
        <v>70.2</v>
      </c>
      <c r="D67" s="25">
        <f t="shared" si="0"/>
        <v>33.822886937069399</v>
      </c>
    </row>
    <row r="68" spans="1:4" x14ac:dyDescent="0.25">
      <c r="A68" s="25">
        <v>2017</v>
      </c>
      <c r="B68" s="25" t="s">
        <v>53</v>
      </c>
      <c r="C68" s="26">
        <v>68.05</v>
      </c>
      <c r="D68" s="25">
        <f t="shared" si="0"/>
        <v>59.825235620567305</v>
      </c>
    </row>
    <row r="69" spans="1:4" x14ac:dyDescent="0.25">
      <c r="A69" s="25">
        <v>2017</v>
      </c>
      <c r="B69" s="25" t="s">
        <v>54</v>
      </c>
      <c r="C69" s="26">
        <v>63.3</v>
      </c>
      <c r="D69" s="25">
        <f t="shared" si="0"/>
        <v>67.850546377903299</v>
      </c>
    </row>
    <row r="70" spans="1:4" x14ac:dyDescent="0.25">
      <c r="A70" s="25">
        <v>2017</v>
      </c>
      <c r="B70" s="25" t="s">
        <v>55</v>
      </c>
      <c r="C70" s="26">
        <v>65.75</v>
      </c>
      <c r="D70" s="25">
        <f t="shared" si="0"/>
        <v>64.894017829533254</v>
      </c>
    </row>
    <row r="71" spans="1:4" x14ac:dyDescent="0.25">
      <c r="A71" s="25">
        <v>2017</v>
      </c>
      <c r="B71" s="25" t="s">
        <v>56</v>
      </c>
      <c r="C71" s="26">
        <v>59.8</v>
      </c>
      <c r="D71" s="25">
        <f t="shared" ref="D71:D106" si="1">SUMPRODUCT(C68:C70,$G$3:$G$5)</f>
        <v>65.09827972351539</v>
      </c>
    </row>
    <row r="72" spans="1:4" x14ac:dyDescent="0.25">
      <c r="A72" s="25">
        <v>2017</v>
      </c>
      <c r="B72" s="25" t="s">
        <v>57</v>
      </c>
      <c r="C72" s="26">
        <v>45.7</v>
      </c>
      <c r="D72" s="25">
        <f t="shared" si="1"/>
        <v>61.647146240324012</v>
      </c>
    </row>
    <row r="73" spans="1:4" x14ac:dyDescent="0.25">
      <c r="A73" s="25">
        <v>2017</v>
      </c>
      <c r="B73" s="25" t="s">
        <v>58</v>
      </c>
      <c r="C73" s="26">
        <v>1.7</v>
      </c>
      <c r="D73" s="25">
        <f t="shared" si="1"/>
        <v>50.419020179529291</v>
      </c>
    </row>
    <row r="74" spans="1:4" x14ac:dyDescent="0.25">
      <c r="A74" s="25">
        <v>2017</v>
      </c>
      <c r="B74" s="25" t="s">
        <v>59</v>
      </c>
      <c r="C74" s="26">
        <v>0.5</v>
      </c>
      <c r="D74" s="25">
        <f t="shared" si="1"/>
        <v>16.295988019682778</v>
      </c>
    </row>
    <row r="75" spans="1:4" x14ac:dyDescent="0.25">
      <c r="A75" s="25">
        <v>2018</v>
      </c>
      <c r="B75" s="25" t="s">
        <v>48</v>
      </c>
      <c r="C75" s="26">
        <v>5.6</v>
      </c>
      <c r="D75" s="25">
        <f t="shared" si="1"/>
        <v>2.1663239385790898</v>
      </c>
    </row>
    <row r="76" spans="1:4" x14ac:dyDescent="0.25">
      <c r="A76" s="25">
        <v>2018</v>
      </c>
      <c r="B76" s="25" t="s">
        <v>49</v>
      </c>
      <c r="C76" s="26">
        <v>51.25</v>
      </c>
      <c r="D76" s="25">
        <f t="shared" si="1"/>
        <v>3.99061400843933</v>
      </c>
    </row>
    <row r="77" spans="1:4" x14ac:dyDescent="0.25">
      <c r="A77" s="25">
        <v>2018</v>
      </c>
      <c r="B77" s="25" t="s">
        <v>50</v>
      </c>
      <c r="C77" s="26">
        <v>68.8</v>
      </c>
      <c r="D77" s="25">
        <f t="shared" si="1"/>
        <v>36.383788515081939</v>
      </c>
    </row>
    <row r="78" spans="1:4" x14ac:dyDescent="0.25">
      <c r="A78" s="25">
        <v>2018</v>
      </c>
      <c r="B78" s="25" t="s">
        <v>51</v>
      </c>
      <c r="C78" s="26">
        <v>137.25</v>
      </c>
      <c r="D78" s="25">
        <f t="shared" si="1"/>
        <v>61.814377670288174</v>
      </c>
    </row>
    <row r="79" spans="1:4" x14ac:dyDescent="0.25">
      <c r="A79" s="25">
        <v>2018</v>
      </c>
      <c r="B79" s="25" t="s">
        <v>52</v>
      </c>
      <c r="C79" s="26">
        <v>118.9</v>
      </c>
      <c r="D79" s="25">
        <f t="shared" si="1"/>
        <v>114.6709262583353</v>
      </c>
    </row>
    <row r="80" spans="1:4" x14ac:dyDescent="0.25">
      <c r="A80" s="25">
        <v>2018</v>
      </c>
      <c r="B80" s="25" t="s">
        <v>53</v>
      </c>
      <c r="C80" s="26">
        <v>68.75</v>
      </c>
      <c r="D80" s="25">
        <f t="shared" si="1"/>
        <v>122.82592021198656</v>
      </c>
    </row>
    <row r="81" spans="1:4" x14ac:dyDescent="0.25">
      <c r="A81" s="25">
        <v>2018</v>
      </c>
      <c r="B81" s="25" t="s">
        <v>54</v>
      </c>
      <c r="C81" s="26">
        <v>66.75</v>
      </c>
      <c r="D81" s="25">
        <f t="shared" si="1"/>
        <v>85.452445445332216</v>
      </c>
    </row>
    <row r="82" spans="1:4" x14ac:dyDescent="0.25">
      <c r="A82" s="25">
        <v>2018</v>
      </c>
      <c r="B82" s="25" t="s">
        <v>55</v>
      </c>
      <c r="C82" s="26">
        <v>74.849999999999994</v>
      </c>
      <c r="D82" s="25">
        <f t="shared" si="1"/>
        <v>68.853141890377699</v>
      </c>
    </row>
    <row r="83" spans="1:4" x14ac:dyDescent="0.25">
      <c r="A83" s="25">
        <v>2018</v>
      </c>
      <c r="B83" s="25" t="s">
        <v>56</v>
      </c>
      <c r="C83" s="26">
        <v>72.099999999999994</v>
      </c>
      <c r="D83" s="25">
        <f t="shared" si="1"/>
        <v>72.296713945829836</v>
      </c>
    </row>
    <row r="84" spans="1:4" x14ac:dyDescent="0.25">
      <c r="A84" s="25">
        <v>2018</v>
      </c>
      <c r="B84" s="25" t="s">
        <v>57</v>
      </c>
      <c r="C84" s="26">
        <v>63.05</v>
      </c>
      <c r="D84" s="25">
        <f t="shared" si="1"/>
        <v>72.751158664380824</v>
      </c>
    </row>
    <row r="85" spans="1:4" x14ac:dyDescent="0.25">
      <c r="A85" s="25">
        <v>2018</v>
      </c>
      <c r="B85" s="25" t="s">
        <v>58</v>
      </c>
      <c r="C85" s="26">
        <v>20.95</v>
      </c>
      <c r="D85" s="25">
        <f t="shared" si="1"/>
        <v>66.047822168791626</v>
      </c>
    </row>
    <row r="86" spans="1:4" x14ac:dyDescent="0.25">
      <c r="A86" s="25">
        <v>2018</v>
      </c>
      <c r="B86" s="25" t="s">
        <v>59</v>
      </c>
      <c r="C86" s="26">
        <v>0.15</v>
      </c>
      <c r="D86" s="25">
        <f t="shared" si="1"/>
        <v>34.786585080759764</v>
      </c>
    </row>
    <row r="87" spans="1:4" x14ac:dyDescent="0.25">
      <c r="A87" s="25">
        <v>2019</v>
      </c>
      <c r="B87" s="25" t="s">
        <v>48</v>
      </c>
      <c r="C87" s="26">
        <v>6.75</v>
      </c>
      <c r="D87" s="25">
        <f t="shared" si="1"/>
        <v>8.0802874767799704</v>
      </c>
    </row>
    <row r="88" spans="1:4" x14ac:dyDescent="0.25">
      <c r="A88" s="25">
        <v>2019</v>
      </c>
      <c r="B88" s="25" t="s">
        <v>49</v>
      </c>
      <c r="C88" s="26">
        <v>8.6999999999999993</v>
      </c>
      <c r="D88" s="25">
        <f t="shared" si="1"/>
        <v>5.2269311169450416</v>
      </c>
    </row>
    <row r="89" spans="1:4" x14ac:dyDescent="0.25">
      <c r="A89" s="25">
        <v>2019</v>
      </c>
      <c r="B89" s="25" t="s">
        <v>50</v>
      </c>
      <c r="C89" s="26">
        <v>33.6</v>
      </c>
      <c r="D89" s="25">
        <f t="shared" si="1"/>
        <v>7.8793959596931629</v>
      </c>
    </row>
    <row r="90" spans="1:4" x14ac:dyDescent="0.25">
      <c r="A90" s="25">
        <v>2019</v>
      </c>
      <c r="B90" s="25" t="s">
        <v>51</v>
      </c>
      <c r="C90" s="26">
        <v>69.2</v>
      </c>
      <c r="D90" s="25">
        <f t="shared" si="1"/>
        <v>25.515350204976318</v>
      </c>
    </row>
    <row r="91" spans="1:4" x14ac:dyDescent="0.25">
      <c r="A91" s="25">
        <v>2019</v>
      </c>
      <c r="B91" s="25" t="s">
        <v>52</v>
      </c>
      <c r="C91" s="26">
        <v>57.8</v>
      </c>
      <c r="D91" s="25">
        <f t="shared" si="1"/>
        <v>56.998268491253711</v>
      </c>
    </row>
    <row r="92" spans="1:4" x14ac:dyDescent="0.25">
      <c r="A92" s="25">
        <v>2019</v>
      </c>
      <c r="B92" s="25" t="s">
        <v>53</v>
      </c>
      <c r="C92" s="26">
        <v>69.75</v>
      </c>
      <c r="D92" s="25">
        <f t="shared" si="1"/>
        <v>60.440335842010356</v>
      </c>
    </row>
    <row r="93" spans="1:4" x14ac:dyDescent="0.25">
      <c r="A93" s="25">
        <v>2019</v>
      </c>
      <c r="B93" s="25" t="s">
        <v>54</v>
      </c>
      <c r="C93" s="26">
        <v>52</v>
      </c>
      <c r="D93" s="25">
        <f t="shared" si="1"/>
        <v>66.228768837895487</v>
      </c>
    </row>
    <row r="94" spans="1:4" x14ac:dyDescent="0.25">
      <c r="A94" s="25">
        <v>2019</v>
      </c>
      <c r="B94" s="25" t="s">
        <v>55</v>
      </c>
      <c r="C94" s="26">
        <v>57.45</v>
      </c>
      <c r="D94" s="25">
        <f t="shared" si="1"/>
        <v>57.375321456249402</v>
      </c>
    </row>
    <row r="95" spans="1:4" x14ac:dyDescent="0.25">
      <c r="A95" s="25">
        <v>2019</v>
      </c>
      <c r="B95" s="25" t="s">
        <v>56</v>
      </c>
      <c r="C95" s="26">
        <v>60.2</v>
      </c>
      <c r="D95" s="25">
        <f t="shared" si="1"/>
        <v>56.209060005091587</v>
      </c>
    </row>
    <row r="96" spans="1:4" x14ac:dyDescent="0.25">
      <c r="A96" s="25">
        <v>2019</v>
      </c>
      <c r="B96" s="25" t="s">
        <v>57</v>
      </c>
      <c r="C96" s="26">
        <v>57.8</v>
      </c>
      <c r="D96" s="25">
        <f t="shared" si="1"/>
        <v>59.154956153036892</v>
      </c>
    </row>
    <row r="97" spans="1:7" x14ac:dyDescent="0.25">
      <c r="A97" s="25">
        <v>2019</v>
      </c>
      <c r="B97" s="25" t="s">
        <v>58</v>
      </c>
      <c r="C97" s="26">
        <v>11.3</v>
      </c>
      <c r="D97" s="25">
        <f t="shared" si="1"/>
        <v>58.49386981804858</v>
      </c>
    </row>
    <row r="98" spans="1:7" x14ac:dyDescent="0.25">
      <c r="A98" s="25">
        <v>2019</v>
      </c>
      <c r="B98" s="25" t="s">
        <v>59</v>
      </c>
      <c r="C98" s="26">
        <v>1.35</v>
      </c>
      <c r="D98" s="25">
        <f t="shared" si="1"/>
        <v>26.361805974412082</v>
      </c>
    </row>
    <row r="99" spans="1:7" x14ac:dyDescent="0.25">
      <c r="A99" s="25">
        <v>2020</v>
      </c>
      <c r="B99" s="25" t="s">
        <v>48</v>
      </c>
      <c r="C99" s="26">
        <v>17.899999999999999</v>
      </c>
      <c r="D99" s="25">
        <f t="shared" si="1"/>
        <v>5.9100966069620409</v>
      </c>
    </row>
    <row r="100" spans="1:7" x14ac:dyDescent="0.25">
      <c r="A100" s="25">
        <v>2020</v>
      </c>
      <c r="B100" s="25" t="s">
        <v>49</v>
      </c>
      <c r="C100" s="26">
        <v>8.3000000000000007</v>
      </c>
      <c r="D100" s="25">
        <f t="shared" si="1"/>
        <v>12.853477499624031</v>
      </c>
    </row>
    <row r="101" spans="1:7" x14ac:dyDescent="0.25">
      <c r="A101" s="25">
        <v>2020</v>
      </c>
      <c r="B101" s="25" t="s">
        <v>50</v>
      </c>
      <c r="C101" s="26">
        <v>71.099999999999994</v>
      </c>
      <c r="D101" s="25">
        <f t="shared" si="1"/>
        <v>10.913890695106868</v>
      </c>
    </row>
    <row r="102" spans="1:7" x14ac:dyDescent="0.25">
      <c r="A102" s="25">
        <v>2020</v>
      </c>
      <c r="B102" s="25" t="s">
        <v>51</v>
      </c>
      <c r="C102" s="26">
        <v>68.599999999999994</v>
      </c>
      <c r="D102" s="25">
        <f t="shared" si="1"/>
        <v>51.131943146127568</v>
      </c>
    </row>
    <row r="103" spans="1:7" x14ac:dyDescent="0.25">
      <c r="A103" s="25">
        <v>2020</v>
      </c>
      <c r="B103" s="25" t="s">
        <v>52</v>
      </c>
      <c r="C103" s="26">
        <v>61.3</v>
      </c>
      <c r="D103" s="25">
        <f t="shared" si="1"/>
        <v>67.579985472111417</v>
      </c>
    </row>
    <row r="104" spans="1:7" x14ac:dyDescent="0.25">
      <c r="A104" s="25">
        <v>2020</v>
      </c>
      <c r="B104" s="25" t="s">
        <v>53</v>
      </c>
      <c r="C104" s="26">
        <v>76.650000000000006</v>
      </c>
      <c r="D104" s="25">
        <f t="shared" si="1"/>
        <v>63.726335683383212</v>
      </c>
    </row>
    <row r="105" spans="1:7" x14ac:dyDescent="0.25">
      <c r="A105" s="25">
        <v>2020</v>
      </c>
      <c r="B105" s="25" t="s">
        <v>54</v>
      </c>
      <c r="C105" s="26">
        <v>53.75</v>
      </c>
      <c r="D105" s="25">
        <f t="shared" si="1"/>
        <v>71.913365459068672</v>
      </c>
    </row>
    <row r="106" spans="1:7" x14ac:dyDescent="0.25">
      <c r="A106" s="25">
        <v>2020</v>
      </c>
      <c r="B106" s="25" t="s">
        <v>55</v>
      </c>
      <c r="C106" s="26">
        <v>59.25</v>
      </c>
      <c r="D106" s="25">
        <f t="shared" si="1"/>
        <v>60.686863017984294</v>
      </c>
      <c r="F106" s="158" t="s">
        <v>502</v>
      </c>
      <c r="G106" s="158" t="s">
        <v>503</v>
      </c>
    </row>
    <row r="107" spans="1:7" x14ac:dyDescent="0.25">
      <c r="F107" s="160">
        <f>SUMXMY2(C99:C106,D99:D106)/(COUNT(D99:D106)-1)</f>
        <v>661.48920589361308</v>
      </c>
      <c r="G107" s="160">
        <f>SQRT(F107)</f>
        <v>25.719432456677833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G29"/>
  <sheetViews>
    <sheetView workbookViewId="0">
      <selection activeCell="D34" sqref="D34"/>
    </sheetView>
  </sheetViews>
  <sheetFormatPr defaultColWidth="9.140625" defaultRowHeight="15" x14ac:dyDescent="0.25"/>
  <cols>
    <col min="1" max="1" width="19" style="43" bestFit="1" customWidth="1"/>
    <col min="2" max="2" width="12" style="43" bestFit="1" customWidth="1"/>
    <col min="3" max="3" width="11" style="43" bestFit="1" customWidth="1"/>
    <col min="4" max="4" width="11.42578125" style="43" bestFit="1" customWidth="1"/>
    <col min="5" max="6" width="12" style="43" bestFit="1" customWidth="1"/>
    <col min="7" max="7" width="11.5703125" style="43" bestFit="1" customWidth="1"/>
    <col min="8" max="8" width="12" style="43" bestFit="1" customWidth="1"/>
    <col min="9" max="16384" width="9.140625" style="43"/>
  </cols>
  <sheetData>
    <row r="1" spans="1:7" x14ac:dyDescent="0.25">
      <c r="A1" s="39" t="s">
        <v>74</v>
      </c>
      <c r="B1" s="40">
        <v>2</v>
      </c>
      <c r="C1" s="41"/>
      <c r="D1" s="41"/>
      <c r="E1" s="41"/>
      <c r="F1" s="42"/>
      <c r="G1" s="43" t="s">
        <v>75</v>
      </c>
    </row>
    <row r="2" spans="1:7" hidden="1" x14ac:dyDescent="0.25">
      <c r="A2" s="44"/>
      <c r="C2" s="43" t="s">
        <v>76</v>
      </c>
      <c r="D2" s="43" t="s">
        <v>77</v>
      </c>
      <c r="E2" s="43" t="s">
        <v>78</v>
      </c>
      <c r="F2" s="45" t="s">
        <v>79</v>
      </c>
    </row>
    <row r="3" spans="1:7" hidden="1" x14ac:dyDescent="0.25">
      <c r="A3" s="44" t="s">
        <v>80</v>
      </c>
      <c r="B3" s="43">
        <f>MAX(_xlfn.NORM.INV(C3,D3,E3),0)</f>
        <v>203.53000924102867</v>
      </c>
      <c r="C3" s="107">
        <f>VLOOKUP($B$1,$D$10:$F$29,F3,FALSE)</f>
        <v>0.59302522644529521</v>
      </c>
      <c r="D3" s="46">
        <v>200</v>
      </c>
      <c r="E3" s="46">
        <v>15</v>
      </c>
      <c r="F3" s="45">
        <v>2</v>
      </c>
    </row>
    <row r="4" spans="1:7" hidden="1" x14ac:dyDescent="0.25">
      <c r="A4" s="44" t="s">
        <v>81</v>
      </c>
      <c r="B4" s="43">
        <f>MAX(_xlfn.NORM.INV(C4,D4,E4),0)</f>
        <v>261.61204460984044</v>
      </c>
      <c r="C4" s="107">
        <f>VLOOKUP($B$1,$D$10:$F$29,F4,FALSE)</f>
        <v>0.99614464788853152</v>
      </c>
      <c r="D4" s="46">
        <v>195</v>
      </c>
      <c r="E4" s="46">
        <v>25</v>
      </c>
      <c r="F4" s="45">
        <v>3</v>
      </c>
    </row>
    <row r="5" spans="1:7" hidden="1" x14ac:dyDescent="0.25">
      <c r="A5" s="47" t="s">
        <v>82</v>
      </c>
      <c r="B5" s="48" t="b">
        <f>B3&gt;B4</f>
        <v>0</v>
      </c>
      <c r="C5" s="48"/>
      <c r="D5" s="48"/>
      <c r="E5" s="48"/>
      <c r="F5" s="49"/>
    </row>
    <row r="6" spans="1:7" hidden="1" x14ac:dyDescent="0.25"/>
    <row r="7" spans="1:7" hidden="1" x14ac:dyDescent="0.25">
      <c r="D7" s="50"/>
      <c r="E7" s="161" t="s">
        <v>83</v>
      </c>
      <c r="F7" s="162"/>
    </row>
    <row r="8" spans="1:7" hidden="1" x14ac:dyDescent="0.25">
      <c r="D8" s="51" t="s">
        <v>84</v>
      </c>
      <c r="E8" s="43" t="s">
        <v>85</v>
      </c>
      <c r="F8" s="45" t="s">
        <v>86</v>
      </c>
    </row>
    <row r="9" spans="1:7" hidden="1" x14ac:dyDescent="0.25">
      <c r="B9" s="43">
        <f>B3</f>
        <v>203.53000924102867</v>
      </c>
      <c r="C9" s="43">
        <f>B4</f>
        <v>261.61204460984044</v>
      </c>
      <c r="D9" s="51"/>
      <c r="F9" s="45"/>
    </row>
    <row r="10" spans="1:7" x14ac:dyDescent="0.25">
      <c r="A10" s="43">
        <v>1</v>
      </c>
      <c r="B10" s="43">
        <f t="dataTable" ref="B10:C29" dt2D="0" dtr="0" r1="B1"/>
        <v>195.15874194956342</v>
      </c>
      <c r="C10" s="43">
        <v>181.37370234792152</v>
      </c>
      <c r="D10" s="51">
        <v>1</v>
      </c>
      <c r="E10" s="52">
        <v>0.37344208789074262</v>
      </c>
      <c r="F10" s="53">
        <v>0.29285890938938519</v>
      </c>
      <c r="G10" s="43">
        <f>IF(B10&gt;C10,1,0)</f>
        <v>1</v>
      </c>
    </row>
    <row r="11" spans="1:7" hidden="1" x14ac:dyDescent="0.25">
      <c r="A11" s="43">
        <v>2</v>
      </c>
      <c r="B11" s="43">
        <v>203.53000924102867</v>
      </c>
      <c r="C11" s="43">
        <v>261.61204460984044</v>
      </c>
      <c r="D11" s="51">
        <v>2</v>
      </c>
      <c r="E11" s="52">
        <v>0.59302522644529521</v>
      </c>
      <c r="F11" s="53">
        <v>0.99614464788853152</v>
      </c>
      <c r="G11" s="43">
        <f t="shared" ref="G11:G29" si="0">IF(B11&gt;C11,1,0)</f>
        <v>0</v>
      </c>
    </row>
    <row r="12" spans="1:7" x14ac:dyDescent="0.25">
      <c r="A12" s="43">
        <v>3</v>
      </c>
      <c r="B12" s="43">
        <v>195.11514140774753</v>
      </c>
      <c r="C12" s="43">
        <v>189.48925844458375</v>
      </c>
      <c r="D12" s="51">
        <v>3</v>
      </c>
      <c r="E12" s="52">
        <v>0.37234184997068431</v>
      </c>
      <c r="F12" s="53">
        <v>0.41276827318213616</v>
      </c>
      <c r="G12" s="43">
        <f t="shared" si="0"/>
        <v>1</v>
      </c>
    </row>
    <row r="13" spans="1:7" x14ac:dyDescent="0.25">
      <c r="A13" s="43">
        <v>4</v>
      </c>
      <c r="B13" s="43">
        <v>189.44720001449306</v>
      </c>
      <c r="C13" s="43">
        <v>184.09398713336793</v>
      </c>
      <c r="D13" s="51">
        <v>4</v>
      </c>
      <c r="E13" s="52">
        <v>0.24086587396555648</v>
      </c>
      <c r="F13" s="53">
        <v>0.3313311178800028</v>
      </c>
      <c r="G13" s="43">
        <f t="shared" si="0"/>
        <v>1</v>
      </c>
    </row>
    <row r="14" spans="1:7" hidden="1" x14ac:dyDescent="0.25">
      <c r="A14" s="43">
        <v>5</v>
      </c>
      <c r="B14" s="43">
        <v>176.68055012591</v>
      </c>
      <c r="C14" s="43">
        <v>203.87263079196791</v>
      </c>
      <c r="D14" s="51">
        <v>5</v>
      </c>
      <c r="E14" s="52">
        <v>6.0017108323839996E-2</v>
      </c>
      <c r="F14" s="53">
        <v>0.63866970550972968</v>
      </c>
      <c r="G14" s="43">
        <f t="shared" si="0"/>
        <v>0</v>
      </c>
    </row>
    <row r="15" spans="1:7" x14ac:dyDescent="0.25">
      <c r="A15" s="43">
        <v>6</v>
      </c>
      <c r="B15" s="43">
        <v>203.49782706417534</v>
      </c>
      <c r="C15" s="43">
        <v>144.81352973867871</v>
      </c>
      <c r="D15" s="51">
        <v>6</v>
      </c>
      <c r="E15" s="52">
        <v>0.59219247102035322</v>
      </c>
      <c r="F15" s="53">
        <v>2.2350416100173298E-2</v>
      </c>
      <c r="G15" s="43">
        <f t="shared" si="0"/>
        <v>1</v>
      </c>
    </row>
    <row r="16" spans="1:7" hidden="1" x14ac:dyDescent="0.25">
      <c r="A16" s="43">
        <v>7</v>
      </c>
      <c r="B16" s="43">
        <v>219.46131682688974</v>
      </c>
      <c r="C16" s="43">
        <v>220.15785334848354</v>
      </c>
      <c r="D16" s="51">
        <v>7</v>
      </c>
      <c r="E16" s="52">
        <v>0.90275683554046848</v>
      </c>
      <c r="F16" s="53">
        <v>0.84286775818537196</v>
      </c>
      <c r="G16" s="43">
        <f t="shared" si="0"/>
        <v>0</v>
      </c>
    </row>
    <row r="17" spans="1:7" x14ac:dyDescent="0.25">
      <c r="A17" s="43">
        <v>8</v>
      </c>
      <c r="B17" s="43">
        <v>194.44824986217532</v>
      </c>
      <c r="C17" s="43">
        <v>186.41335594028212</v>
      </c>
      <c r="D17" s="51">
        <v>8</v>
      </c>
      <c r="E17" s="52">
        <v>0.35564777874410236</v>
      </c>
      <c r="F17" s="53">
        <v>0.36562404681130267</v>
      </c>
      <c r="G17" s="43">
        <f t="shared" si="0"/>
        <v>1</v>
      </c>
    </row>
    <row r="18" spans="1:7" x14ac:dyDescent="0.25">
      <c r="A18" s="43">
        <v>9</v>
      </c>
      <c r="B18" s="43">
        <v>208.31062038269991</v>
      </c>
      <c r="C18" s="43">
        <v>199.15274168308071</v>
      </c>
      <c r="D18" s="51">
        <v>9</v>
      </c>
      <c r="E18" s="52">
        <v>0.71022472944967385</v>
      </c>
      <c r="F18" s="53">
        <v>0.56596467678637064</v>
      </c>
      <c r="G18" s="43">
        <f t="shared" si="0"/>
        <v>1</v>
      </c>
    </row>
    <row r="19" spans="1:7" x14ac:dyDescent="0.25">
      <c r="A19" s="43">
        <v>10</v>
      </c>
      <c r="B19" s="43">
        <v>240.66143435777073</v>
      </c>
      <c r="C19" s="43">
        <v>210.95790364494815</v>
      </c>
      <c r="D19" s="51">
        <v>10</v>
      </c>
      <c r="E19" s="52">
        <v>0.99664356339266313</v>
      </c>
      <c r="F19" s="53">
        <v>0.73836604806626738</v>
      </c>
      <c r="G19" s="43">
        <f t="shared" si="0"/>
        <v>1</v>
      </c>
    </row>
    <row r="20" spans="1:7" x14ac:dyDescent="0.25">
      <c r="A20" s="43">
        <v>11</v>
      </c>
      <c r="B20" s="43">
        <v>222.49732932653495</v>
      </c>
      <c r="C20" s="43">
        <v>176.93929930098227</v>
      </c>
      <c r="D20" s="51">
        <v>11</v>
      </c>
      <c r="E20" s="52">
        <v>0.93316973570464345</v>
      </c>
      <c r="F20" s="53">
        <v>0.23501568002138062</v>
      </c>
      <c r="G20" s="43">
        <f t="shared" si="0"/>
        <v>1</v>
      </c>
    </row>
    <row r="21" spans="1:7" x14ac:dyDescent="0.25">
      <c r="A21" s="43">
        <v>12</v>
      </c>
      <c r="B21" s="43">
        <v>228.70092178678846</v>
      </c>
      <c r="C21" s="43">
        <v>191.7342094361446</v>
      </c>
      <c r="D21" s="51">
        <v>12</v>
      </c>
      <c r="E21" s="52">
        <v>0.9721512342928883</v>
      </c>
      <c r="F21" s="53">
        <v>0.44803336294599694</v>
      </c>
      <c r="G21" s="43">
        <f t="shared" si="0"/>
        <v>1</v>
      </c>
    </row>
    <row r="22" spans="1:7" hidden="1" x14ac:dyDescent="0.25">
      <c r="A22" s="43">
        <v>13</v>
      </c>
      <c r="B22" s="43">
        <v>213.60802676429262</v>
      </c>
      <c r="C22" s="43">
        <v>255.82416954533775</v>
      </c>
      <c r="D22" s="51">
        <v>13</v>
      </c>
      <c r="E22" s="52">
        <v>0.81784994982252213</v>
      </c>
      <c r="F22" s="53">
        <v>0.99251216263938236</v>
      </c>
      <c r="G22" s="43">
        <f t="shared" si="0"/>
        <v>0</v>
      </c>
    </row>
    <row r="23" spans="1:7" hidden="1" x14ac:dyDescent="0.25">
      <c r="A23" s="43">
        <v>14</v>
      </c>
      <c r="B23" s="43">
        <v>199.31916823284124</v>
      </c>
      <c r="C23" s="43">
        <v>218.21545835647385</v>
      </c>
      <c r="D23" s="51">
        <v>14</v>
      </c>
      <c r="E23" s="52">
        <v>0.48189871023309983</v>
      </c>
      <c r="F23" s="53">
        <v>0.82345654158334858</v>
      </c>
      <c r="G23" s="43">
        <f t="shared" si="0"/>
        <v>0</v>
      </c>
    </row>
    <row r="24" spans="1:7" hidden="1" x14ac:dyDescent="0.25">
      <c r="A24" s="43">
        <v>15</v>
      </c>
      <c r="B24" s="43">
        <v>193.15304554701441</v>
      </c>
      <c r="C24" s="43">
        <v>220.43534248679396</v>
      </c>
      <c r="D24" s="51">
        <v>15</v>
      </c>
      <c r="E24" s="52">
        <v>0.32402830924636339</v>
      </c>
      <c r="F24" s="53">
        <v>0.84552166616418245</v>
      </c>
      <c r="G24" s="43">
        <f t="shared" si="0"/>
        <v>0</v>
      </c>
    </row>
    <row r="25" spans="1:7" x14ac:dyDescent="0.25">
      <c r="A25" s="43">
        <v>16</v>
      </c>
      <c r="B25" s="43">
        <v>223.36072764826824</v>
      </c>
      <c r="C25" s="43">
        <v>167.54979784050289</v>
      </c>
      <c r="D25" s="51">
        <v>16</v>
      </c>
      <c r="E25" s="52">
        <v>0.94031007282359269</v>
      </c>
      <c r="F25" s="53">
        <v>0.1361004791319923</v>
      </c>
      <c r="G25" s="43">
        <f t="shared" si="0"/>
        <v>1</v>
      </c>
    </row>
    <row r="26" spans="1:7" hidden="1" x14ac:dyDescent="0.25">
      <c r="A26" s="43">
        <v>17</v>
      </c>
      <c r="B26" s="43">
        <v>189.45711887338481</v>
      </c>
      <c r="C26" s="43">
        <v>228.45351840345839</v>
      </c>
      <c r="D26" s="51">
        <v>17</v>
      </c>
      <c r="E26" s="52">
        <v>0.24107189263102335</v>
      </c>
      <c r="F26" s="53">
        <v>0.909574718164054</v>
      </c>
      <c r="G26" s="43">
        <f t="shared" si="0"/>
        <v>0</v>
      </c>
    </row>
    <row r="27" spans="1:7" x14ac:dyDescent="0.25">
      <c r="A27" s="43">
        <v>18</v>
      </c>
      <c r="B27" s="43">
        <v>208.07913516314164</v>
      </c>
      <c r="C27" s="43">
        <v>166.99019124728204</v>
      </c>
      <c r="D27" s="51">
        <v>18</v>
      </c>
      <c r="E27" s="52">
        <v>0.70492166566795733</v>
      </c>
      <c r="F27" s="53">
        <v>0.13127330170704088</v>
      </c>
      <c r="G27" s="43">
        <f t="shared" si="0"/>
        <v>1</v>
      </c>
    </row>
    <row r="28" spans="1:7" x14ac:dyDescent="0.25">
      <c r="A28" s="43">
        <v>19</v>
      </c>
      <c r="B28" s="43">
        <v>204.36405087810294</v>
      </c>
      <c r="C28" s="43">
        <v>184.1379793925972</v>
      </c>
      <c r="D28" s="51">
        <v>19</v>
      </c>
      <c r="E28" s="52">
        <v>0.6144501435235743</v>
      </c>
      <c r="F28" s="53">
        <v>0.33196965834714132</v>
      </c>
      <c r="G28" s="43">
        <f t="shared" si="0"/>
        <v>1</v>
      </c>
    </row>
    <row r="29" spans="1:7" hidden="1" x14ac:dyDescent="0.25">
      <c r="A29" s="43">
        <v>20</v>
      </c>
      <c r="B29" s="43">
        <v>172.12855672014786</v>
      </c>
      <c r="C29" s="43">
        <v>202.54250447556623</v>
      </c>
      <c r="D29" s="54">
        <v>20</v>
      </c>
      <c r="E29" s="55">
        <v>3.1577675865138377E-2</v>
      </c>
      <c r="F29" s="56">
        <v>0.61855968410169127</v>
      </c>
      <c r="G29" s="43">
        <f t="shared" si="0"/>
        <v>0</v>
      </c>
    </row>
  </sheetData>
  <autoFilter ref="G1:G29">
    <filterColumn colId="0">
      <filters>
        <filter val="1"/>
      </filters>
    </filterColumn>
  </autoFilter>
  <mergeCells count="1">
    <mergeCell ref="E7:F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workbookViewId="0">
      <selection activeCell="B4" sqref="B4"/>
    </sheetView>
  </sheetViews>
  <sheetFormatPr defaultColWidth="9.140625" defaultRowHeight="15" x14ac:dyDescent="0.25"/>
  <cols>
    <col min="1" max="1" width="22.28515625" style="43" customWidth="1"/>
    <col min="2" max="2" width="16.42578125" style="43" bestFit="1" customWidth="1"/>
    <col min="3" max="3" width="18.28515625" style="43" bestFit="1" customWidth="1"/>
    <col min="4" max="4" width="11.42578125" style="43" bestFit="1" customWidth="1"/>
    <col min="5" max="5" width="12" style="43" bestFit="1" customWidth="1"/>
    <col min="6" max="6" width="11.5703125" style="43" bestFit="1" customWidth="1"/>
    <col min="7" max="7" width="12" style="43" bestFit="1" customWidth="1"/>
    <col min="8" max="16384" width="9.140625" style="43"/>
  </cols>
  <sheetData>
    <row r="1" spans="1:6" x14ac:dyDescent="0.25">
      <c r="A1" s="39" t="s">
        <v>74</v>
      </c>
      <c r="B1" s="40">
        <v>1</v>
      </c>
      <c r="C1" s="41"/>
      <c r="D1" s="42"/>
      <c r="E1" s="43" t="s">
        <v>75</v>
      </c>
    </row>
    <row r="2" spans="1:6" x14ac:dyDescent="0.25">
      <c r="A2" s="44"/>
      <c r="C2" s="43" t="s">
        <v>76</v>
      </c>
      <c r="D2" s="57" t="s">
        <v>77</v>
      </c>
    </row>
    <row r="3" spans="1:6" x14ac:dyDescent="0.25">
      <c r="A3" s="58" t="s">
        <v>87</v>
      </c>
      <c r="B3" s="59" t="s">
        <v>88</v>
      </c>
      <c r="C3" s="107">
        <f>VLOOKUP($B$1,$E$11:$F$20,2,FALSE)</f>
        <v>0.29285890938938519</v>
      </c>
      <c r="D3" s="60">
        <v>10</v>
      </c>
    </row>
    <row r="4" spans="1:6" x14ac:dyDescent="0.25">
      <c r="A4" s="118" t="s">
        <v>231</v>
      </c>
      <c r="B4" s="59">
        <f>MIN(B3,10)</f>
        <v>10</v>
      </c>
      <c r="C4" s="107"/>
      <c r="D4" s="60"/>
    </row>
    <row r="5" spans="1:6" x14ac:dyDescent="0.25">
      <c r="A5" s="58" t="s">
        <v>89</v>
      </c>
      <c r="B5" s="61">
        <v>1250</v>
      </c>
      <c r="D5" s="45"/>
    </row>
    <row r="6" spans="1:6" x14ac:dyDescent="0.25">
      <c r="A6" s="120" t="s">
        <v>235</v>
      </c>
      <c r="B6" s="119" t="s">
        <v>88</v>
      </c>
      <c r="C6" s="48"/>
      <c r="D6" s="49"/>
    </row>
    <row r="8" spans="1:6" x14ac:dyDescent="0.25">
      <c r="E8" s="50"/>
      <c r="F8" s="62"/>
    </row>
    <row r="9" spans="1:6" x14ac:dyDescent="0.25">
      <c r="A9" s="50" t="s">
        <v>84</v>
      </c>
      <c r="B9" s="63" t="s">
        <v>87</v>
      </c>
      <c r="C9" s="64" t="s">
        <v>235</v>
      </c>
      <c r="E9" s="51" t="s">
        <v>84</v>
      </c>
      <c r="F9" s="57" t="s">
        <v>76</v>
      </c>
    </row>
    <row r="10" spans="1:6" x14ac:dyDescent="0.25">
      <c r="A10" s="51"/>
      <c r="B10" s="65" t="str">
        <f>B3</f>
        <v>?</v>
      </c>
      <c r="C10" s="66" t="str">
        <f>B6</f>
        <v>?</v>
      </c>
      <c r="E10" s="51"/>
      <c r="F10" s="45"/>
    </row>
    <row r="11" spans="1:6" x14ac:dyDescent="0.25">
      <c r="A11" s="51">
        <v>1</v>
      </c>
      <c r="B11" s="65" t="str">
        <f t="dataTable" ref="B11:C20" dt2D="0" dtr="0" r1="B1"/>
        <v>?</v>
      </c>
      <c r="C11" s="67" t="str">
        <v>?</v>
      </c>
      <c r="E11" s="51">
        <v>1</v>
      </c>
      <c r="F11" s="53">
        <v>0.29285890938938519</v>
      </c>
    </row>
    <row r="12" spans="1:6" x14ac:dyDescent="0.25">
      <c r="A12" s="51">
        <v>2</v>
      </c>
      <c r="B12" s="65" t="str">
        <v>?</v>
      </c>
      <c r="C12" s="67" t="str">
        <v>?</v>
      </c>
      <c r="E12" s="51">
        <v>2</v>
      </c>
      <c r="F12" s="53">
        <v>0.99614464788853152</v>
      </c>
    </row>
    <row r="13" spans="1:6" x14ac:dyDescent="0.25">
      <c r="A13" s="51">
        <v>3</v>
      </c>
      <c r="B13" s="65" t="str">
        <v>?</v>
      </c>
      <c r="C13" s="67" t="str">
        <v>?</v>
      </c>
      <c r="E13" s="51">
        <v>3</v>
      </c>
      <c r="F13" s="53">
        <v>0.99251216263938236</v>
      </c>
    </row>
    <row r="14" spans="1:6" x14ac:dyDescent="0.25">
      <c r="A14" s="51">
        <v>4</v>
      </c>
      <c r="B14" s="65" t="str">
        <v>?</v>
      </c>
      <c r="C14" s="67" t="str">
        <v>?</v>
      </c>
      <c r="E14" s="51">
        <v>4</v>
      </c>
      <c r="F14" s="53">
        <v>0.82345654158334858</v>
      </c>
    </row>
    <row r="15" spans="1:6" x14ac:dyDescent="0.25">
      <c r="A15" s="51">
        <v>5</v>
      </c>
      <c r="B15" s="65" t="str">
        <v>?</v>
      </c>
      <c r="C15" s="67" t="str">
        <v>?</v>
      </c>
      <c r="E15" s="51">
        <v>5</v>
      </c>
      <c r="F15" s="53">
        <v>0.84552166616418245</v>
      </c>
    </row>
    <row r="16" spans="1:6" x14ac:dyDescent="0.25">
      <c r="A16" s="51">
        <v>6</v>
      </c>
      <c r="B16" s="65" t="str">
        <v>?</v>
      </c>
      <c r="C16" s="67" t="str">
        <v>?</v>
      </c>
      <c r="E16" s="51">
        <v>6</v>
      </c>
      <c r="F16" s="53">
        <v>0.1361004791319923</v>
      </c>
    </row>
    <row r="17" spans="1:6" x14ac:dyDescent="0.25">
      <c r="A17" s="51">
        <v>7</v>
      </c>
      <c r="B17" s="65" t="str">
        <v>?</v>
      </c>
      <c r="C17" s="67" t="str">
        <v>?</v>
      </c>
      <c r="E17" s="51">
        <v>7</v>
      </c>
      <c r="F17" s="53">
        <v>0.909574718164054</v>
      </c>
    </row>
    <row r="18" spans="1:6" x14ac:dyDescent="0.25">
      <c r="A18" s="51">
        <v>8</v>
      </c>
      <c r="B18" s="65" t="str">
        <v>?</v>
      </c>
      <c r="C18" s="67" t="str">
        <v>?</v>
      </c>
      <c r="E18" s="51">
        <v>8</v>
      </c>
      <c r="F18" s="53">
        <v>0.13127330170704088</v>
      </c>
    </row>
    <row r="19" spans="1:6" x14ac:dyDescent="0.25">
      <c r="A19" s="51">
        <v>9</v>
      </c>
      <c r="B19" s="65" t="str">
        <v>?</v>
      </c>
      <c r="C19" s="67" t="str">
        <v>?</v>
      </c>
      <c r="E19" s="51">
        <v>9</v>
      </c>
      <c r="F19" s="53">
        <v>0.33196965834714132</v>
      </c>
    </row>
    <row r="20" spans="1:6" x14ac:dyDescent="0.25">
      <c r="A20" s="54">
        <v>10</v>
      </c>
      <c r="B20" s="68" t="str">
        <v>?</v>
      </c>
      <c r="C20" s="69" t="str">
        <v>?</v>
      </c>
      <c r="E20" s="54">
        <v>10</v>
      </c>
      <c r="F20" s="56">
        <v>0.61855968410169127</v>
      </c>
    </row>
    <row r="22" spans="1:6" x14ac:dyDescent="0.25">
      <c r="A22" s="59"/>
      <c r="B22" s="70"/>
      <c r="C22" s="7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activeCell="F2" sqref="F2:G6"/>
    </sheetView>
  </sheetViews>
  <sheetFormatPr defaultColWidth="10.5703125" defaultRowHeight="15" x14ac:dyDescent="0.25"/>
  <cols>
    <col min="1" max="1" width="15.85546875" style="25" customWidth="1"/>
    <col min="2" max="3" width="10.140625" style="25" customWidth="1"/>
    <col min="4" max="4" width="12" style="25" customWidth="1"/>
    <col min="5" max="5" width="10.5703125" style="25" bestFit="1" customWidth="1"/>
    <col min="6" max="6" width="10.42578125" style="25" customWidth="1"/>
    <col min="7" max="8" width="10.5703125" style="25"/>
    <col min="9" max="9" width="13.5703125" style="25" bestFit="1" customWidth="1"/>
    <col min="10" max="16384" width="10.5703125" style="25"/>
  </cols>
  <sheetData>
    <row r="1" spans="1:10" ht="43.7" customHeight="1" x14ac:dyDescent="0.25">
      <c r="A1" s="72" t="s">
        <v>90</v>
      </c>
      <c r="B1" s="72" t="s">
        <v>91</v>
      </c>
      <c r="C1" s="72" t="s">
        <v>92</v>
      </c>
      <c r="D1" s="72" t="s">
        <v>93</v>
      </c>
      <c r="E1" s="72" t="s">
        <v>94</v>
      </c>
      <c r="F1" s="167" t="s">
        <v>504</v>
      </c>
      <c r="G1" s="167" t="s">
        <v>505</v>
      </c>
      <c r="H1" s="167" t="s">
        <v>506</v>
      </c>
      <c r="I1" s="167" t="s">
        <v>507</v>
      </c>
      <c r="J1" s="167"/>
    </row>
    <row r="2" spans="1:10" x14ac:dyDescent="0.25">
      <c r="A2" s="25" t="s">
        <v>95</v>
      </c>
      <c r="B2" s="73">
        <v>14</v>
      </c>
      <c r="C2" s="26">
        <v>115</v>
      </c>
      <c r="D2" s="26">
        <v>82</v>
      </c>
      <c r="E2" s="74">
        <v>1000</v>
      </c>
      <c r="F2" s="27">
        <v>0</v>
      </c>
      <c r="G2" s="27">
        <v>0</v>
      </c>
      <c r="H2" s="25">
        <f>G2*D2</f>
        <v>0</v>
      </c>
      <c r="I2" s="25">
        <f>G2*C2</f>
        <v>0</v>
      </c>
      <c r="J2" s="168"/>
    </row>
    <row r="3" spans="1:10" x14ac:dyDescent="0.25">
      <c r="A3" s="25" t="s">
        <v>96</v>
      </c>
      <c r="B3" s="73">
        <v>10</v>
      </c>
      <c r="C3" s="26">
        <v>85</v>
      </c>
      <c r="D3" s="26">
        <v>55</v>
      </c>
      <c r="E3" s="74">
        <v>500</v>
      </c>
      <c r="F3" s="27">
        <v>85</v>
      </c>
      <c r="G3" s="27">
        <v>1</v>
      </c>
      <c r="H3" s="25">
        <f t="shared" ref="H3:H6" si="0">G3*D3</f>
        <v>55</v>
      </c>
      <c r="I3" s="25">
        <f t="shared" ref="I3:I6" si="1">G3*C3</f>
        <v>85</v>
      </c>
      <c r="J3" s="168"/>
    </row>
    <row r="4" spans="1:10" x14ac:dyDescent="0.25">
      <c r="A4" s="25" t="s">
        <v>97</v>
      </c>
      <c r="B4" s="73">
        <v>7</v>
      </c>
      <c r="C4" s="26">
        <v>50</v>
      </c>
      <c r="D4" s="26">
        <v>20</v>
      </c>
      <c r="E4" s="74">
        <v>650</v>
      </c>
      <c r="F4" s="27">
        <v>0</v>
      </c>
      <c r="G4" s="27">
        <v>0</v>
      </c>
      <c r="H4" s="25">
        <f t="shared" si="0"/>
        <v>0</v>
      </c>
      <c r="I4" s="25">
        <f t="shared" si="1"/>
        <v>0</v>
      </c>
      <c r="J4" s="168"/>
    </row>
    <row r="5" spans="1:10" x14ac:dyDescent="0.25">
      <c r="A5" s="25" t="s">
        <v>98</v>
      </c>
      <c r="B5" s="73">
        <v>13</v>
      </c>
      <c r="C5" s="26">
        <v>100</v>
      </c>
      <c r="D5" s="26">
        <v>76</v>
      </c>
      <c r="E5" s="74">
        <v>900</v>
      </c>
      <c r="F5" s="27">
        <v>99.999999999999986</v>
      </c>
      <c r="G5" s="27">
        <v>1</v>
      </c>
      <c r="H5" s="25">
        <f t="shared" si="0"/>
        <v>76</v>
      </c>
      <c r="I5" s="25">
        <f t="shared" si="1"/>
        <v>100</v>
      </c>
      <c r="J5" s="168"/>
    </row>
    <row r="6" spans="1:10" x14ac:dyDescent="0.25">
      <c r="A6" s="25" t="s">
        <v>99</v>
      </c>
      <c r="B6" s="73">
        <v>16</v>
      </c>
      <c r="C6" s="26">
        <v>150</v>
      </c>
      <c r="D6" s="26">
        <v>90</v>
      </c>
      <c r="E6" s="74">
        <v>880</v>
      </c>
      <c r="F6" s="27">
        <v>130.00000000000003</v>
      </c>
      <c r="G6" s="27">
        <v>1</v>
      </c>
      <c r="H6" s="25">
        <f t="shared" si="0"/>
        <v>90</v>
      </c>
      <c r="I6" s="25">
        <f t="shared" si="1"/>
        <v>150</v>
      </c>
      <c r="J6" s="168"/>
    </row>
    <row r="7" spans="1:10" x14ac:dyDescent="0.25">
      <c r="E7" s="167" t="s">
        <v>508</v>
      </c>
      <c r="F7" s="25">
        <f>SUM(F2:F6)</f>
        <v>315</v>
      </c>
      <c r="G7" s="25">
        <f>SUM(G2:G6)</f>
        <v>3</v>
      </c>
      <c r="I7" s="167" t="s">
        <v>508</v>
      </c>
      <c r="J7" s="170"/>
    </row>
    <row r="8" spans="1:10" x14ac:dyDescent="0.25">
      <c r="E8" s="169" t="s">
        <v>509</v>
      </c>
      <c r="F8" s="25">
        <f>SUMPRODUCT(G2:G6,E2:E6)</f>
        <v>2280</v>
      </c>
    </row>
    <row r="9" spans="1:10" x14ac:dyDescent="0.25">
      <c r="E9" s="169" t="s">
        <v>510</v>
      </c>
      <c r="F9" s="25">
        <f>SUMPRODUCT(F2:F6,B2:B6)</f>
        <v>4230</v>
      </c>
    </row>
    <row r="10" spans="1:10" x14ac:dyDescent="0.25">
      <c r="A10" s="25" t="s">
        <v>100</v>
      </c>
      <c r="D10" s="26">
        <v>315</v>
      </c>
      <c r="E10" s="167" t="s">
        <v>511</v>
      </c>
      <c r="F10" s="160">
        <f>SUM(F8:F9)</f>
        <v>6510</v>
      </c>
    </row>
    <row r="11" spans="1:10" x14ac:dyDescent="0.25">
      <c r="A11" s="25" t="s">
        <v>101</v>
      </c>
      <c r="D11" s="26">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9"/>
  <sheetViews>
    <sheetView tabSelected="1" workbookViewId="0">
      <selection activeCell="J26" sqref="J26"/>
    </sheetView>
  </sheetViews>
  <sheetFormatPr defaultColWidth="12.42578125" defaultRowHeight="15.75" x14ac:dyDescent="0.25"/>
  <cols>
    <col min="1" max="1" width="12.42578125" style="76"/>
    <col min="2" max="2" width="5.85546875" style="76" bestFit="1" customWidth="1"/>
    <col min="3" max="3" width="3.5703125" style="76" bestFit="1" customWidth="1"/>
    <col min="4" max="4" width="16.42578125" style="76" bestFit="1" customWidth="1"/>
    <col min="5" max="5" width="13.140625" style="76" bestFit="1" customWidth="1"/>
    <col min="6" max="6" width="8.42578125" style="76" customWidth="1"/>
    <col min="7" max="7" width="5.85546875" style="76" bestFit="1" customWidth="1"/>
    <col min="8" max="8" width="11.42578125" style="76" customWidth="1"/>
    <col min="9" max="9" width="7.42578125" style="76" bestFit="1" customWidth="1"/>
    <col min="10" max="10" width="8.5703125" style="76" bestFit="1" customWidth="1"/>
    <col min="11" max="15" width="8.85546875" style="76" customWidth="1"/>
    <col min="16" max="17" width="12.42578125" style="76"/>
    <col min="18" max="18" width="17" style="76" bestFit="1" customWidth="1"/>
    <col min="19" max="19" width="13.28515625" style="76" customWidth="1"/>
    <col min="20" max="16384" width="12.42578125" style="76"/>
  </cols>
  <sheetData>
    <row r="1" spans="1:19" ht="45" x14ac:dyDescent="0.25">
      <c r="A1" s="75" t="s">
        <v>104</v>
      </c>
      <c r="B1" s="75" t="s">
        <v>105</v>
      </c>
      <c r="C1" s="75" t="s">
        <v>106</v>
      </c>
      <c r="D1" s="75" t="s">
        <v>107</v>
      </c>
      <c r="E1" s="75" t="s">
        <v>108</v>
      </c>
      <c r="G1" s="75" t="s">
        <v>109</v>
      </c>
      <c r="H1" s="75"/>
      <c r="I1" s="77" t="s">
        <v>110</v>
      </c>
      <c r="J1" s="75" t="s">
        <v>111</v>
      </c>
      <c r="K1" s="37" t="s">
        <v>512</v>
      </c>
      <c r="L1" s="25" t="s">
        <v>513</v>
      </c>
      <c r="M1" s="171" t="s">
        <v>514</v>
      </c>
      <c r="N1" s="172" t="s">
        <v>515</v>
      </c>
      <c r="O1" s="75" t="s">
        <v>516</v>
      </c>
    </row>
    <row r="2" spans="1:19" x14ac:dyDescent="0.25">
      <c r="A2" s="78">
        <v>0</v>
      </c>
      <c r="B2" s="79">
        <v>1</v>
      </c>
      <c r="C2" s="79">
        <v>3</v>
      </c>
      <c r="D2" s="80">
        <v>2000</v>
      </c>
      <c r="E2" s="81">
        <f>D2*S3</f>
        <v>24683.333333333332</v>
      </c>
      <c r="G2" s="76">
        <v>1</v>
      </c>
      <c r="I2" s="80">
        <v>33000</v>
      </c>
      <c r="J2" s="81"/>
      <c r="K2" s="82">
        <f>SUMIF(C2:C67,G2,A2:A67)</f>
        <v>0</v>
      </c>
      <c r="L2" s="82">
        <f>SUMIF(B2:B67,G2,A2:A67)</f>
        <v>0</v>
      </c>
      <c r="M2" s="82">
        <f>K2+I2</f>
        <v>33000</v>
      </c>
      <c r="N2" s="82">
        <f>L2+J2</f>
        <v>0</v>
      </c>
      <c r="O2" s="81">
        <f>A2/D2</f>
        <v>0</v>
      </c>
    </row>
    <row r="3" spans="1:19" x14ac:dyDescent="0.25">
      <c r="A3" s="83">
        <v>0</v>
      </c>
      <c r="B3" s="79">
        <v>1</v>
      </c>
      <c r="C3" s="79">
        <v>6</v>
      </c>
      <c r="D3" s="80">
        <v>5000</v>
      </c>
      <c r="E3" s="81">
        <f t="shared" ref="E3:E66" si="0">D3*S4</f>
        <v>0</v>
      </c>
      <c r="G3" s="76">
        <v>2</v>
      </c>
      <c r="I3" s="80">
        <v>33000</v>
      </c>
      <c r="J3" s="81"/>
      <c r="K3" s="82">
        <f t="shared" ref="K3:K17" si="1">SUMIF(C3:C68,G3,A3:A68)</f>
        <v>0</v>
      </c>
      <c r="L3" s="82">
        <f t="shared" ref="L3:L17" si="2">SUMIF(B3:B68,G3,A3:A68)</f>
        <v>33000</v>
      </c>
      <c r="M3" s="82">
        <f t="shared" ref="M3:M17" si="3">K3+I3</f>
        <v>33000</v>
      </c>
      <c r="N3" s="82">
        <f t="shared" ref="N3:N17" si="4">L3+J3</f>
        <v>33000</v>
      </c>
      <c r="O3" s="81">
        <f t="shared" ref="O3:O66" si="5">A3/D3</f>
        <v>0</v>
      </c>
      <c r="R3" s="121" t="s">
        <v>112</v>
      </c>
      <c r="S3" s="173">
        <f>SUM(O2:O67)</f>
        <v>12.341666666666667</v>
      </c>
    </row>
    <row r="4" spans="1:19" x14ac:dyDescent="0.25">
      <c r="A4" s="83">
        <v>0</v>
      </c>
      <c r="B4" s="79">
        <v>1</v>
      </c>
      <c r="C4" s="79">
        <v>7</v>
      </c>
      <c r="D4" s="80">
        <v>10000</v>
      </c>
      <c r="E4" s="81">
        <f t="shared" si="0"/>
        <v>0</v>
      </c>
      <c r="G4" s="76">
        <v>3</v>
      </c>
      <c r="I4" s="81"/>
      <c r="J4" s="81"/>
      <c r="K4" s="82">
        <f t="shared" si="1"/>
        <v>0</v>
      </c>
      <c r="L4" s="82">
        <f t="shared" si="2"/>
        <v>0</v>
      </c>
      <c r="M4" s="82">
        <f t="shared" si="3"/>
        <v>0</v>
      </c>
      <c r="N4" s="82">
        <f t="shared" si="4"/>
        <v>0</v>
      </c>
      <c r="O4" s="81">
        <f t="shared" si="5"/>
        <v>0</v>
      </c>
      <c r="R4" s="121" t="s">
        <v>232</v>
      </c>
    </row>
    <row r="5" spans="1:19" x14ac:dyDescent="0.25">
      <c r="A5" s="83">
        <v>0</v>
      </c>
      <c r="B5" s="79">
        <v>1</v>
      </c>
      <c r="C5" s="79">
        <v>8</v>
      </c>
      <c r="D5" s="80">
        <v>15000</v>
      </c>
      <c r="E5" s="81">
        <f t="shared" si="0"/>
        <v>0</v>
      </c>
      <c r="G5" s="76">
        <v>4</v>
      </c>
      <c r="I5" s="81"/>
      <c r="J5" s="81"/>
      <c r="K5" s="82">
        <f t="shared" si="1"/>
        <v>15750</v>
      </c>
      <c r="L5" s="82">
        <f t="shared" si="2"/>
        <v>15750</v>
      </c>
      <c r="M5" s="82">
        <f t="shared" si="3"/>
        <v>15750</v>
      </c>
      <c r="N5" s="82">
        <f t="shared" si="4"/>
        <v>15750</v>
      </c>
      <c r="O5" s="81">
        <f t="shared" si="5"/>
        <v>0</v>
      </c>
      <c r="R5" s="84"/>
      <c r="S5" s="81"/>
    </row>
    <row r="6" spans="1:19" x14ac:dyDescent="0.25">
      <c r="A6" s="83">
        <v>0</v>
      </c>
      <c r="B6" s="79">
        <v>2</v>
      </c>
      <c r="C6" s="79">
        <v>3</v>
      </c>
      <c r="D6" s="80">
        <v>2000</v>
      </c>
      <c r="E6" s="81">
        <f t="shared" si="0"/>
        <v>0</v>
      </c>
      <c r="G6" s="76">
        <v>5</v>
      </c>
      <c r="I6" s="81"/>
      <c r="J6" s="81"/>
      <c r="K6" s="82">
        <f t="shared" si="1"/>
        <v>15750</v>
      </c>
      <c r="L6" s="82">
        <f t="shared" si="2"/>
        <v>15750</v>
      </c>
      <c r="M6" s="82">
        <f t="shared" si="3"/>
        <v>15750</v>
      </c>
      <c r="N6" s="82">
        <f t="shared" si="4"/>
        <v>15750</v>
      </c>
      <c r="O6" s="81">
        <f t="shared" si="5"/>
        <v>0</v>
      </c>
    </row>
    <row r="7" spans="1:19" x14ac:dyDescent="0.25">
      <c r="A7" s="83">
        <v>15750</v>
      </c>
      <c r="B7" s="79">
        <v>2</v>
      </c>
      <c r="C7" s="79">
        <v>4</v>
      </c>
      <c r="D7" s="80">
        <v>15000</v>
      </c>
      <c r="E7" s="81">
        <f t="shared" si="0"/>
        <v>0</v>
      </c>
      <c r="G7" s="76">
        <v>6</v>
      </c>
      <c r="I7" s="81"/>
      <c r="J7" s="81"/>
      <c r="K7" s="82">
        <f t="shared" si="1"/>
        <v>1500</v>
      </c>
      <c r="L7" s="82">
        <f t="shared" si="2"/>
        <v>1500</v>
      </c>
      <c r="M7" s="82">
        <f t="shared" si="3"/>
        <v>1500</v>
      </c>
      <c r="N7" s="82">
        <f t="shared" si="4"/>
        <v>1500</v>
      </c>
      <c r="O7" s="81">
        <f t="shared" si="5"/>
        <v>1.05</v>
      </c>
    </row>
    <row r="8" spans="1:19" x14ac:dyDescent="0.25">
      <c r="A8" s="83">
        <v>15750</v>
      </c>
      <c r="B8" s="79">
        <v>2</v>
      </c>
      <c r="C8" s="79">
        <v>5</v>
      </c>
      <c r="D8" s="80">
        <v>10000</v>
      </c>
      <c r="E8" s="81">
        <f t="shared" si="0"/>
        <v>0</v>
      </c>
      <c r="G8" s="76">
        <v>7</v>
      </c>
      <c r="I8" s="81"/>
      <c r="J8" s="81"/>
      <c r="K8" s="82">
        <f t="shared" si="1"/>
        <v>0</v>
      </c>
      <c r="L8" s="82">
        <f t="shared" si="2"/>
        <v>0</v>
      </c>
      <c r="M8" s="82">
        <f t="shared" si="3"/>
        <v>0</v>
      </c>
      <c r="N8" s="82">
        <f t="shared" si="4"/>
        <v>0</v>
      </c>
      <c r="O8" s="81">
        <f t="shared" si="5"/>
        <v>1.575</v>
      </c>
    </row>
    <row r="9" spans="1:19" x14ac:dyDescent="0.25">
      <c r="A9" s="83">
        <v>1500</v>
      </c>
      <c r="B9" s="79">
        <v>2</v>
      </c>
      <c r="C9" s="79">
        <v>6</v>
      </c>
      <c r="D9" s="80">
        <v>5000</v>
      </c>
      <c r="E9" s="81">
        <f t="shared" si="0"/>
        <v>0</v>
      </c>
      <c r="G9" s="76">
        <v>8</v>
      </c>
      <c r="I9" s="81"/>
      <c r="J9" s="81"/>
      <c r="K9" s="82">
        <f t="shared" si="1"/>
        <v>0</v>
      </c>
      <c r="L9" s="82">
        <f t="shared" si="2"/>
        <v>0</v>
      </c>
      <c r="M9" s="82">
        <f t="shared" si="3"/>
        <v>0</v>
      </c>
      <c r="N9" s="82">
        <f t="shared" si="4"/>
        <v>0</v>
      </c>
      <c r="O9" s="81">
        <f t="shared" si="5"/>
        <v>0.3</v>
      </c>
    </row>
    <row r="10" spans="1:19" x14ac:dyDescent="0.25">
      <c r="A10" s="83">
        <v>0</v>
      </c>
      <c r="B10" s="79">
        <v>3</v>
      </c>
      <c r="C10" s="79">
        <v>4</v>
      </c>
      <c r="D10" s="80">
        <v>2500</v>
      </c>
      <c r="E10" s="81">
        <f t="shared" si="0"/>
        <v>0</v>
      </c>
      <c r="G10" s="76">
        <v>9</v>
      </c>
      <c r="I10" s="81"/>
      <c r="J10" s="80">
        <v>10000</v>
      </c>
      <c r="K10" s="82">
        <f t="shared" si="1"/>
        <v>0</v>
      </c>
      <c r="L10" s="82">
        <f t="shared" si="2"/>
        <v>0</v>
      </c>
      <c r="M10" s="82">
        <f t="shared" si="3"/>
        <v>0</v>
      </c>
      <c r="N10" s="82">
        <f t="shared" si="4"/>
        <v>10000</v>
      </c>
      <c r="O10" s="81">
        <f t="shared" si="5"/>
        <v>0</v>
      </c>
    </row>
    <row r="11" spans="1:19" x14ac:dyDescent="0.25">
      <c r="A11" s="83">
        <v>0</v>
      </c>
      <c r="B11" s="79">
        <v>3</v>
      </c>
      <c r="C11" s="79">
        <v>8</v>
      </c>
      <c r="D11" s="80">
        <v>2500</v>
      </c>
      <c r="E11" s="81">
        <f t="shared" si="0"/>
        <v>0</v>
      </c>
      <c r="G11" s="76">
        <v>10</v>
      </c>
      <c r="I11" s="81"/>
      <c r="J11" s="80">
        <v>9500</v>
      </c>
      <c r="K11" s="82">
        <f t="shared" si="1"/>
        <v>9500</v>
      </c>
      <c r="L11" s="82">
        <f t="shared" si="2"/>
        <v>0</v>
      </c>
      <c r="M11" s="82">
        <f t="shared" si="3"/>
        <v>9500</v>
      </c>
      <c r="N11" s="82">
        <f t="shared" si="4"/>
        <v>9500</v>
      </c>
      <c r="O11" s="81">
        <f t="shared" si="5"/>
        <v>0</v>
      </c>
    </row>
    <row r="12" spans="1:19" x14ac:dyDescent="0.25">
      <c r="A12" s="83">
        <v>0</v>
      </c>
      <c r="B12" s="79">
        <v>3</v>
      </c>
      <c r="C12" s="79">
        <v>15</v>
      </c>
      <c r="D12" s="80">
        <v>3000</v>
      </c>
      <c r="E12" s="81">
        <f t="shared" si="0"/>
        <v>0</v>
      </c>
      <c r="G12" s="76">
        <v>11</v>
      </c>
      <c r="I12" s="81"/>
      <c r="J12" s="80">
        <v>12000</v>
      </c>
      <c r="K12" s="82">
        <f t="shared" si="1"/>
        <v>0</v>
      </c>
      <c r="L12" s="82">
        <f t="shared" si="2"/>
        <v>0</v>
      </c>
      <c r="M12" s="82">
        <f t="shared" si="3"/>
        <v>0</v>
      </c>
      <c r="N12" s="82">
        <f t="shared" si="4"/>
        <v>12000</v>
      </c>
      <c r="O12" s="81">
        <f t="shared" si="5"/>
        <v>0</v>
      </c>
    </row>
    <row r="13" spans="1:19" x14ac:dyDescent="0.25">
      <c r="A13" s="83">
        <v>0</v>
      </c>
      <c r="B13" s="79">
        <v>3</v>
      </c>
      <c r="C13" s="79">
        <v>16</v>
      </c>
      <c r="D13" s="80">
        <v>3000</v>
      </c>
      <c r="E13" s="81">
        <f t="shared" si="0"/>
        <v>0</v>
      </c>
      <c r="G13" s="76">
        <v>12</v>
      </c>
      <c r="I13" s="81"/>
      <c r="J13" s="80">
        <v>9500</v>
      </c>
      <c r="K13" s="82">
        <f t="shared" si="1"/>
        <v>9500</v>
      </c>
      <c r="L13" s="82">
        <f t="shared" si="2"/>
        <v>0</v>
      </c>
      <c r="M13" s="82">
        <f t="shared" si="3"/>
        <v>9500</v>
      </c>
      <c r="N13" s="82">
        <f t="shared" si="4"/>
        <v>9500</v>
      </c>
      <c r="O13" s="81">
        <f t="shared" si="5"/>
        <v>0</v>
      </c>
    </row>
    <row r="14" spans="1:19" x14ac:dyDescent="0.25">
      <c r="A14" s="83">
        <v>0</v>
      </c>
      <c r="B14" s="79">
        <v>4</v>
      </c>
      <c r="C14" s="79">
        <v>3</v>
      </c>
      <c r="D14" s="80">
        <v>2500</v>
      </c>
      <c r="E14" s="81">
        <f t="shared" si="0"/>
        <v>0</v>
      </c>
      <c r="G14" s="76">
        <v>13</v>
      </c>
      <c r="I14" s="81"/>
      <c r="J14" s="80">
        <v>6250</v>
      </c>
      <c r="K14" s="82">
        <f t="shared" si="1"/>
        <v>6250</v>
      </c>
      <c r="L14" s="82">
        <f t="shared" si="2"/>
        <v>0</v>
      </c>
      <c r="M14" s="82">
        <f t="shared" si="3"/>
        <v>6250</v>
      </c>
      <c r="N14" s="82">
        <f t="shared" si="4"/>
        <v>6250</v>
      </c>
      <c r="O14" s="81">
        <f t="shared" si="5"/>
        <v>0</v>
      </c>
    </row>
    <row r="15" spans="1:19" x14ac:dyDescent="0.25">
      <c r="A15" s="83">
        <v>0</v>
      </c>
      <c r="B15" s="79">
        <v>4</v>
      </c>
      <c r="C15" s="79">
        <v>5</v>
      </c>
      <c r="D15" s="80">
        <v>7500</v>
      </c>
      <c r="E15" s="81">
        <f t="shared" si="0"/>
        <v>0</v>
      </c>
      <c r="G15" s="76">
        <v>14</v>
      </c>
      <c r="I15" s="81"/>
      <c r="J15" s="80">
        <v>6250</v>
      </c>
      <c r="K15" s="82">
        <f t="shared" si="1"/>
        <v>1500</v>
      </c>
      <c r="L15" s="82">
        <f t="shared" si="2"/>
        <v>0</v>
      </c>
      <c r="M15" s="82">
        <f t="shared" si="3"/>
        <v>1500</v>
      </c>
      <c r="N15" s="82">
        <f t="shared" si="4"/>
        <v>6250</v>
      </c>
      <c r="O15" s="81">
        <f t="shared" si="5"/>
        <v>0</v>
      </c>
    </row>
    <row r="16" spans="1:19" x14ac:dyDescent="0.25">
      <c r="A16" s="83">
        <v>0</v>
      </c>
      <c r="B16" s="79">
        <v>4</v>
      </c>
      <c r="C16" s="79">
        <v>8</v>
      </c>
      <c r="D16" s="80">
        <v>10000</v>
      </c>
      <c r="E16" s="81">
        <f t="shared" si="0"/>
        <v>0</v>
      </c>
      <c r="G16" s="76">
        <v>15</v>
      </c>
      <c r="I16" s="81"/>
      <c r="J16" s="80">
        <v>6250</v>
      </c>
      <c r="K16" s="82">
        <f t="shared" si="1"/>
        <v>6250</v>
      </c>
      <c r="L16" s="82">
        <f t="shared" si="2"/>
        <v>0</v>
      </c>
      <c r="M16" s="82">
        <f t="shared" si="3"/>
        <v>6250</v>
      </c>
      <c r="N16" s="82">
        <f t="shared" si="4"/>
        <v>6250</v>
      </c>
      <c r="O16" s="81">
        <f t="shared" si="5"/>
        <v>0</v>
      </c>
    </row>
    <row r="17" spans="1:15" x14ac:dyDescent="0.25">
      <c r="A17" s="83">
        <v>9500</v>
      </c>
      <c r="B17" s="79">
        <v>4</v>
      </c>
      <c r="C17" s="79">
        <v>12</v>
      </c>
      <c r="D17" s="80">
        <v>4000</v>
      </c>
      <c r="E17" s="81">
        <f t="shared" si="0"/>
        <v>0</v>
      </c>
      <c r="G17" s="76">
        <v>16</v>
      </c>
      <c r="I17" s="81"/>
      <c r="J17" s="80">
        <v>6250</v>
      </c>
      <c r="K17" s="82">
        <f t="shared" si="1"/>
        <v>0</v>
      </c>
      <c r="L17" s="82">
        <f t="shared" si="2"/>
        <v>0</v>
      </c>
      <c r="M17" s="82">
        <f t="shared" si="3"/>
        <v>0</v>
      </c>
      <c r="N17" s="82">
        <f t="shared" si="4"/>
        <v>6250</v>
      </c>
      <c r="O17" s="81">
        <f t="shared" si="5"/>
        <v>2.375</v>
      </c>
    </row>
    <row r="18" spans="1:15" x14ac:dyDescent="0.25">
      <c r="A18" s="83">
        <v>6250</v>
      </c>
      <c r="B18" s="79">
        <v>4</v>
      </c>
      <c r="C18" s="79">
        <v>15</v>
      </c>
      <c r="D18" s="80">
        <v>3000</v>
      </c>
      <c r="E18" s="81">
        <f t="shared" si="0"/>
        <v>0</v>
      </c>
      <c r="O18" s="81">
        <f t="shared" si="5"/>
        <v>2.0833333333333335</v>
      </c>
    </row>
    <row r="19" spans="1:15" x14ac:dyDescent="0.25">
      <c r="A19" s="83">
        <v>0</v>
      </c>
      <c r="B19" s="79">
        <v>5</v>
      </c>
      <c r="C19" s="79">
        <v>4</v>
      </c>
      <c r="D19" s="80">
        <v>7500</v>
      </c>
      <c r="E19" s="81">
        <f t="shared" si="0"/>
        <v>0</v>
      </c>
      <c r="O19" s="81">
        <f t="shared" si="5"/>
        <v>0</v>
      </c>
    </row>
    <row r="20" spans="1:15" x14ac:dyDescent="0.25">
      <c r="A20" s="83">
        <v>0</v>
      </c>
      <c r="B20" s="79">
        <v>5</v>
      </c>
      <c r="C20" s="79">
        <v>6</v>
      </c>
      <c r="D20" s="80">
        <v>2500</v>
      </c>
      <c r="E20" s="81">
        <f t="shared" si="0"/>
        <v>0</v>
      </c>
      <c r="O20" s="81">
        <f t="shared" si="5"/>
        <v>0</v>
      </c>
    </row>
    <row r="21" spans="1:15" x14ac:dyDescent="0.25">
      <c r="A21" s="83">
        <v>0</v>
      </c>
      <c r="B21" s="79">
        <v>5</v>
      </c>
      <c r="C21" s="79">
        <v>7</v>
      </c>
      <c r="D21" s="80">
        <v>10000</v>
      </c>
      <c r="E21" s="81">
        <f t="shared" si="0"/>
        <v>0</v>
      </c>
      <c r="O21" s="81">
        <f t="shared" si="5"/>
        <v>0</v>
      </c>
    </row>
    <row r="22" spans="1:15" x14ac:dyDescent="0.25">
      <c r="A22" s="83">
        <v>9500</v>
      </c>
      <c r="B22" s="79">
        <v>5</v>
      </c>
      <c r="C22" s="79">
        <v>10</v>
      </c>
      <c r="D22" s="80">
        <v>4000</v>
      </c>
      <c r="E22" s="81">
        <f t="shared" si="0"/>
        <v>0</v>
      </c>
      <c r="O22" s="81">
        <f t="shared" si="5"/>
        <v>2.375</v>
      </c>
    </row>
    <row r="23" spans="1:15" x14ac:dyDescent="0.25">
      <c r="A23" s="83">
        <v>6250</v>
      </c>
      <c r="B23" s="79">
        <v>5</v>
      </c>
      <c r="C23" s="79">
        <v>13</v>
      </c>
      <c r="D23" s="80">
        <v>3000</v>
      </c>
      <c r="E23" s="81">
        <f t="shared" si="0"/>
        <v>0</v>
      </c>
      <c r="O23" s="81">
        <f t="shared" si="5"/>
        <v>2.0833333333333335</v>
      </c>
    </row>
    <row r="24" spans="1:15" x14ac:dyDescent="0.25">
      <c r="A24" s="83">
        <v>0</v>
      </c>
      <c r="B24" s="79">
        <v>6</v>
      </c>
      <c r="C24" s="79">
        <v>5</v>
      </c>
      <c r="D24" s="80">
        <v>2500</v>
      </c>
      <c r="E24" s="81">
        <f t="shared" si="0"/>
        <v>0</v>
      </c>
      <c r="O24" s="81">
        <f t="shared" si="5"/>
        <v>0</v>
      </c>
    </row>
    <row r="25" spans="1:15" x14ac:dyDescent="0.25">
      <c r="A25" s="83">
        <v>0</v>
      </c>
      <c r="B25" s="79">
        <v>6</v>
      </c>
      <c r="C25" s="79">
        <v>7</v>
      </c>
      <c r="D25" s="80">
        <v>2500</v>
      </c>
      <c r="E25" s="81">
        <f t="shared" si="0"/>
        <v>0</v>
      </c>
      <c r="O25" s="81">
        <f t="shared" si="5"/>
        <v>0</v>
      </c>
    </row>
    <row r="26" spans="1:15" x14ac:dyDescent="0.25">
      <c r="A26" s="83">
        <v>0</v>
      </c>
      <c r="B26" s="79">
        <v>6</v>
      </c>
      <c r="C26" s="79">
        <v>13</v>
      </c>
      <c r="D26" s="80">
        <v>3000</v>
      </c>
      <c r="E26" s="81">
        <f t="shared" si="0"/>
        <v>0</v>
      </c>
      <c r="O26" s="81">
        <f t="shared" si="5"/>
        <v>0</v>
      </c>
    </row>
    <row r="27" spans="1:15" x14ac:dyDescent="0.25">
      <c r="A27" s="83">
        <v>1500</v>
      </c>
      <c r="B27" s="79">
        <v>6</v>
      </c>
      <c r="C27" s="79">
        <v>14</v>
      </c>
      <c r="D27" s="80">
        <v>3000</v>
      </c>
      <c r="E27" s="81">
        <f t="shared" si="0"/>
        <v>0</v>
      </c>
      <c r="O27" s="81">
        <f t="shared" si="5"/>
        <v>0.5</v>
      </c>
    </row>
    <row r="28" spans="1:15" x14ac:dyDescent="0.25">
      <c r="A28" s="83">
        <v>0</v>
      </c>
      <c r="B28" s="79">
        <v>7</v>
      </c>
      <c r="C28" s="79">
        <v>5</v>
      </c>
      <c r="D28" s="80">
        <v>10000</v>
      </c>
      <c r="E28" s="81">
        <f t="shared" si="0"/>
        <v>0</v>
      </c>
      <c r="O28" s="81">
        <f t="shared" si="5"/>
        <v>0</v>
      </c>
    </row>
    <row r="29" spans="1:15" x14ac:dyDescent="0.25">
      <c r="A29" s="83">
        <v>0</v>
      </c>
      <c r="B29" s="79">
        <v>7</v>
      </c>
      <c r="C29" s="79">
        <v>6</v>
      </c>
      <c r="D29" s="80">
        <v>2500</v>
      </c>
      <c r="E29" s="81">
        <f t="shared" si="0"/>
        <v>0</v>
      </c>
      <c r="O29" s="81">
        <f t="shared" si="5"/>
        <v>0</v>
      </c>
    </row>
    <row r="30" spans="1:15" x14ac:dyDescent="0.25">
      <c r="A30" s="83">
        <v>0</v>
      </c>
      <c r="B30" s="79">
        <v>7</v>
      </c>
      <c r="C30" s="79">
        <v>8</v>
      </c>
      <c r="D30" s="80">
        <v>7500</v>
      </c>
      <c r="E30" s="81">
        <f t="shared" si="0"/>
        <v>0</v>
      </c>
      <c r="O30" s="81">
        <f t="shared" si="5"/>
        <v>0</v>
      </c>
    </row>
    <row r="31" spans="1:15" x14ac:dyDescent="0.25">
      <c r="A31" s="83">
        <v>0</v>
      </c>
      <c r="B31" s="79">
        <v>7</v>
      </c>
      <c r="C31" s="79">
        <v>9</v>
      </c>
      <c r="D31" s="80">
        <v>3000</v>
      </c>
      <c r="E31" s="81">
        <f t="shared" si="0"/>
        <v>0</v>
      </c>
      <c r="O31" s="81">
        <f t="shared" si="5"/>
        <v>0</v>
      </c>
    </row>
    <row r="32" spans="1:15" x14ac:dyDescent="0.25">
      <c r="A32" s="83">
        <v>0</v>
      </c>
      <c r="B32" s="79">
        <v>7</v>
      </c>
      <c r="C32" s="79">
        <v>10</v>
      </c>
      <c r="D32" s="80">
        <v>4000</v>
      </c>
      <c r="E32" s="81">
        <f t="shared" si="0"/>
        <v>0</v>
      </c>
      <c r="O32" s="81">
        <f t="shared" si="5"/>
        <v>0</v>
      </c>
    </row>
    <row r="33" spans="1:15" x14ac:dyDescent="0.25">
      <c r="A33" s="83">
        <v>0</v>
      </c>
      <c r="B33" s="79">
        <v>7</v>
      </c>
      <c r="C33" s="79">
        <v>11</v>
      </c>
      <c r="D33" s="80">
        <v>4000</v>
      </c>
      <c r="E33" s="81">
        <f t="shared" si="0"/>
        <v>0</v>
      </c>
      <c r="O33" s="81">
        <f t="shared" si="5"/>
        <v>0</v>
      </c>
    </row>
    <row r="34" spans="1:15" x14ac:dyDescent="0.25">
      <c r="A34" s="83">
        <v>0</v>
      </c>
      <c r="B34" s="79">
        <v>7</v>
      </c>
      <c r="C34" s="79">
        <v>14</v>
      </c>
      <c r="D34" s="80">
        <v>3000</v>
      </c>
      <c r="E34" s="81">
        <f t="shared" si="0"/>
        <v>0</v>
      </c>
      <c r="O34" s="81">
        <f t="shared" si="5"/>
        <v>0</v>
      </c>
    </row>
    <row r="35" spans="1:15" x14ac:dyDescent="0.25">
      <c r="A35" s="83">
        <v>0</v>
      </c>
      <c r="B35" s="79">
        <v>8</v>
      </c>
      <c r="C35" s="79">
        <v>3</v>
      </c>
      <c r="D35" s="80">
        <v>2500</v>
      </c>
      <c r="E35" s="81">
        <f t="shared" si="0"/>
        <v>0</v>
      </c>
      <c r="O35" s="81">
        <f t="shared" si="5"/>
        <v>0</v>
      </c>
    </row>
    <row r="36" spans="1:15" x14ac:dyDescent="0.25">
      <c r="A36" s="83">
        <v>0</v>
      </c>
      <c r="B36" s="79">
        <v>8</v>
      </c>
      <c r="C36" s="79">
        <v>4</v>
      </c>
      <c r="D36" s="80">
        <v>10000</v>
      </c>
      <c r="E36" s="81">
        <f t="shared" si="0"/>
        <v>0</v>
      </c>
      <c r="O36" s="81">
        <f t="shared" si="5"/>
        <v>0</v>
      </c>
    </row>
    <row r="37" spans="1:15" x14ac:dyDescent="0.25">
      <c r="A37" s="83">
        <v>0</v>
      </c>
      <c r="B37" s="79">
        <v>8</v>
      </c>
      <c r="C37" s="79">
        <v>7</v>
      </c>
      <c r="D37" s="80">
        <v>7500</v>
      </c>
      <c r="E37" s="81">
        <f t="shared" si="0"/>
        <v>0</v>
      </c>
      <c r="O37" s="81">
        <f t="shared" si="5"/>
        <v>0</v>
      </c>
    </row>
    <row r="38" spans="1:15" x14ac:dyDescent="0.25">
      <c r="A38" s="83">
        <v>0</v>
      </c>
      <c r="B38" s="79">
        <v>8</v>
      </c>
      <c r="C38" s="79">
        <v>9</v>
      </c>
      <c r="D38" s="80">
        <v>3000</v>
      </c>
      <c r="E38" s="81">
        <f t="shared" si="0"/>
        <v>0</v>
      </c>
      <c r="O38" s="81">
        <f t="shared" si="5"/>
        <v>0</v>
      </c>
    </row>
    <row r="39" spans="1:15" x14ac:dyDescent="0.25">
      <c r="A39" s="83">
        <v>0</v>
      </c>
      <c r="B39" s="79">
        <v>8</v>
      </c>
      <c r="C39" s="79">
        <v>11</v>
      </c>
      <c r="D39" s="80">
        <v>4000</v>
      </c>
      <c r="E39" s="81">
        <f t="shared" si="0"/>
        <v>0</v>
      </c>
      <c r="O39" s="81">
        <f t="shared" si="5"/>
        <v>0</v>
      </c>
    </row>
    <row r="40" spans="1:15" x14ac:dyDescent="0.25">
      <c r="A40" s="83">
        <v>0</v>
      </c>
      <c r="B40" s="79">
        <v>8</v>
      </c>
      <c r="C40" s="79">
        <v>12</v>
      </c>
      <c r="D40" s="80">
        <v>4000</v>
      </c>
      <c r="E40" s="81">
        <f t="shared" si="0"/>
        <v>0</v>
      </c>
      <c r="O40" s="81">
        <f t="shared" si="5"/>
        <v>0</v>
      </c>
    </row>
    <row r="41" spans="1:15" x14ac:dyDescent="0.25">
      <c r="A41" s="83">
        <v>0</v>
      </c>
      <c r="B41" s="79">
        <v>8</v>
      </c>
      <c r="C41" s="79">
        <v>16</v>
      </c>
      <c r="D41" s="80">
        <v>3000</v>
      </c>
      <c r="E41" s="81">
        <f t="shared" si="0"/>
        <v>0</v>
      </c>
      <c r="O41" s="81">
        <f t="shared" si="5"/>
        <v>0</v>
      </c>
    </row>
    <row r="42" spans="1:15" x14ac:dyDescent="0.25">
      <c r="A42" s="83">
        <v>0</v>
      </c>
      <c r="B42" s="79">
        <v>9</v>
      </c>
      <c r="C42" s="79">
        <v>7</v>
      </c>
      <c r="D42" s="80">
        <v>3000</v>
      </c>
      <c r="E42" s="81">
        <f t="shared" si="0"/>
        <v>0</v>
      </c>
      <c r="O42" s="81">
        <f t="shared" si="5"/>
        <v>0</v>
      </c>
    </row>
    <row r="43" spans="1:15" x14ac:dyDescent="0.25">
      <c r="A43" s="83">
        <v>0</v>
      </c>
      <c r="B43" s="79">
        <v>9</v>
      </c>
      <c r="C43" s="79">
        <v>8</v>
      </c>
      <c r="D43" s="80">
        <v>3000</v>
      </c>
      <c r="E43" s="81">
        <f t="shared" si="0"/>
        <v>0</v>
      </c>
      <c r="O43" s="81">
        <f t="shared" si="5"/>
        <v>0</v>
      </c>
    </row>
    <row r="44" spans="1:15" x14ac:dyDescent="0.25">
      <c r="A44" s="83">
        <v>0</v>
      </c>
      <c r="B44" s="79">
        <v>9</v>
      </c>
      <c r="C44" s="79">
        <v>10</v>
      </c>
      <c r="D44" s="80">
        <v>1000</v>
      </c>
      <c r="E44" s="81">
        <f t="shared" si="0"/>
        <v>0</v>
      </c>
      <c r="O44" s="81">
        <f t="shared" si="5"/>
        <v>0</v>
      </c>
    </row>
    <row r="45" spans="1:15" x14ac:dyDescent="0.25">
      <c r="A45" s="83">
        <v>0</v>
      </c>
      <c r="B45" s="79">
        <v>9</v>
      </c>
      <c r="C45" s="79">
        <v>11</v>
      </c>
      <c r="D45" s="80">
        <v>1000</v>
      </c>
      <c r="E45" s="81">
        <f t="shared" si="0"/>
        <v>0</v>
      </c>
      <c r="O45" s="81">
        <f t="shared" si="5"/>
        <v>0</v>
      </c>
    </row>
    <row r="46" spans="1:15" x14ac:dyDescent="0.25">
      <c r="A46" s="83">
        <v>0</v>
      </c>
      <c r="B46" s="79">
        <v>9</v>
      </c>
      <c r="C46" s="79">
        <v>12</v>
      </c>
      <c r="D46" s="80">
        <v>1000</v>
      </c>
      <c r="E46" s="81">
        <f t="shared" si="0"/>
        <v>0</v>
      </c>
      <c r="O46" s="81">
        <f t="shared" si="5"/>
        <v>0</v>
      </c>
    </row>
    <row r="47" spans="1:15" x14ac:dyDescent="0.25">
      <c r="A47" s="83">
        <v>0</v>
      </c>
      <c r="B47" s="79">
        <v>10</v>
      </c>
      <c r="C47" s="79">
        <v>5</v>
      </c>
      <c r="D47" s="80">
        <v>4000</v>
      </c>
      <c r="E47" s="81">
        <f t="shared" si="0"/>
        <v>0</v>
      </c>
      <c r="O47" s="81">
        <f t="shared" si="5"/>
        <v>0</v>
      </c>
    </row>
    <row r="48" spans="1:15" x14ac:dyDescent="0.25">
      <c r="A48" s="83">
        <v>0</v>
      </c>
      <c r="B48" s="79">
        <v>10</v>
      </c>
      <c r="C48" s="79">
        <v>7</v>
      </c>
      <c r="D48" s="80">
        <v>4000</v>
      </c>
      <c r="E48" s="81">
        <f t="shared" si="0"/>
        <v>0</v>
      </c>
      <c r="O48" s="81">
        <f t="shared" si="5"/>
        <v>0</v>
      </c>
    </row>
    <row r="49" spans="1:15" x14ac:dyDescent="0.25">
      <c r="A49" s="83">
        <v>0</v>
      </c>
      <c r="B49" s="79">
        <v>10</v>
      </c>
      <c r="C49" s="79">
        <v>9</v>
      </c>
      <c r="D49" s="80">
        <v>1000</v>
      </c>
      <c r="E49" s="81">
        <f t="shared" si="0"/>
        <v>0</v>
      </c>
      <c r="O49" s="81">
        <f t="shared" si="5"/>
        <v>0</v>
      </c>
    </row>
    <row r="50" spans="1:15" x14ac:dyDescent="0.25">
      <c r="A50" s="83">
        <v>0</v>
      </c>
      <c r="B50" s="79">
        <v>11</v>
      </c>
      <c r="C50" s="79">
        <v>7</v>
      </c>
      <c r="D50" s="80">
        <v>4000</v>
      </c>
      <c r="E50" s="81">
        <f t="shared" si="0"/>
        <v>0</v>
      </c>
      <c r="O50" s="81">
        <f t="shared" si="5"/>
        <v>0</v>
      </c>
    </row>
    <row r="51" spans="1:15" x14ac:dyDescent="0.25">
      <c r="A51" s="83">
        <v>0</v>
      </c>
      <c r="B51" s="79">
        <v>11</v>
      </c>
      <c r="C51" s="79">
        <v>8</v>
      </c>
      <c r="D51" s="80">
        <v>4000</v>
      </c>
      <c r="E51" s="81">
        <f t="shared" si="0"/>
        <v>0</v>
      </c>
      <c r="O51" s="81">
        <f t="shared" si="5"/>
        <v>0</v>
      </c>
    </row>
    <row r="52" spans="1:15" x14ac:dyDescent="0.25">
      <c r="A52" s="83">
        <v>0</v>
      </c>
      <c r="B52" s="79">
        <v>11</v>
      </c>
      <c r="C52" s="79">
        <v>9</v>
      </c>
      <c r="D52" s="80">
        <v>1000</v>
      </c>
      <c r="E52" s="81">
        <f t="shared" si="0"/>
        <v>0</v>
      </c>
      <c r="O52" s="81">
        <f t="shared" si="5"/>
        <v>0</v>
      </c>
    </row>
    <row r="53" spans="1:15" x14ac:dyDescent="0.25">
      <c r="A53" s="83">
        <v>0</v>
      </c>
      <c r="B53" s="79">
        <v>12</v>
      </c>
      <c r="C53" s="79">
        <v>4</v>
      </c>
      <c r="D53" s="80">
        <v>4000</v>
      </c>
      <c r="E53" s="81">
        <f t="shared" si="0"/>
        <v>0</v>
      </c>
      <c r="O53" s="81">
        <f t="shared" si="5"/>
        <v>0</v>
      </c>
    </row>
    <row r="54" spans="1:15" x14ac:dyDescent="0.25">
      <c r="A54" s="83">
        <v>0</v>
      </c>
      <c r="B54" s="79">
        <v>12</v>
      </c>
      <c r="C54" s="79">
        <v>8</v>
      </c>
      <c r="D54" s="80">
        <v>4000</v>
      </c>
      <c r="E54" s="81">
        <f t="shared" si="0"/>
        <v>0</v>
      </c>
      <c r="O54" s="81">
        <f t="shared" si="5"/>
        <v>0</v>
      </c>
    </row>
    <row r="55" spans="1:15" x14ac:dyDescent="0.25">
      <c r="A55" s="83">
        <v>0</v>
      </c>
      <c r="B55" s="79">
        <v>12</v>
      </c>
      <c r="C55" s="79">
        <v>9</v>
      </c>
      <c r="D55" s="80">
        <v>1000</v>
      </c>
      <c r="E55" s="81">
        <f t="shared" si="0"/>
        <v>0</v>
      </c>
      <c r="O55" s="81">
        <f t="shared" si="5"/>
        <v>0</v>
      </c>
    </row>
    <row r="56" spans="1:15" x14ac:dyDescent="0.25">
      <c r="A56" s="83">
        <v>0</v>
      </c>
      <c r="B56" s="79">
        <v>13</v>
      </c>
      <c r="C56" s="79">
        <v>5</v>
      </c>
      <c r="D56" s="80">
        <v>3000</v>
      </c>
      <c r="E56" s="81">
        <f t="shared" si="0"/>
        <v>0</v>
      </c>
      <c r="O56" s="81">
        <f t="shared" si="5"/>
        <v>0</v>
      </c>
    </row>
    <row r="57" spans="1:15" x14ac:dyDescent="0.25">
      <c r="A57" s="83">
        <v>0</v>
      </c>
      <c r="B57" s="79">
        <v>13</v>
      </c>
      <c r="C57" s="79">
        <v>6</v>
      </c>
      <c r="D57" s="80">
        <v>3000</v>
      </c>
      <c r="E57" s="81">
        <f t="shared" si="0"/>
        <v>0</v>
      </c>
      <c r="O57" s="81">
        <f t="shared" si="5"/>
        <v>0</v>
      </c>
    </row>
    <row r="58" spans="1:15" x14ac:dyDescent="0.25">
      <c r="A58" s="83">
        <v>0</v>
      </c>
      <c r="B58" s="79">
        <v>13</v>
      </c>
      <c r="C58" s="79">
        <v>14</v>
      </c>
      <c r="D58" s="80">
        <v>1000</v>
      </c>
      <c r="E58" s="81">
        <f t="shared" si="0"/>
        <v>0</v>
      </c>
      <c r="O58" s="81">
        <f t="shared" si="5"/>
        <v>0</v>
      </c>
    </row>
    <row r="59" spans="1:15" x14ac:dyDescent="0.25">
      <c r="A59" s="83">
        <v>0</v>
      </c>
      <c r="B59" s="79">
        <v>14</v>
      </c>
      <c r="C59" s="79">
        <v>6</v>
      </c>
      <c r="D59" s="80">
        <v>3000</v>
      </c>
      <c r="E59" s="81">
        <f t="shared" si="0"/>
        <v>0</v>
      </c>
      <c r="O59" s="81">
        <f t="shared" si="5"/>
        <v>0</v>
      </c>
    </row>
    <row r="60" spans="1:15" x14ac:dyDescent="0.25">
      <c r="A60" s="83">
        <v>0</v>
      </c>
      <c r="B60" s="79">
        <v>14</v>
      </c>
      <c r="C60" s="79">
        <v>7</v>
      </c>
      <c r="D60" s="80">
        <v>3000</v>
      </c>
      <c r="E60" s="81">
        <f t="shared" si="0"/>
        <v>0</v>
      </c>
      <c r="O60" s="81">
        <f t="shared" si="5"/>
        <v>0</v>
      </c>
    </row>
    <row r="61" spans="1:15" x14ac:dyDescent="0.25">
      <c r="A61" s="83">
        <v>0</v>
      </c>
      <c r="B61" s="79">
        <v>14</v>
      </c>
      <c r="C61" s="79">
        <v>13</v>
      </c>
      <c r="D61" s="80">
        <v>1000</v>
      </c>
      <c r="E61" s="81">
        <f t="shared" si="0"/>
        <v>0</v>
      </c>
      <c r="O61" s="81">
        <f t="shared" si="5"/>
        <v>0</v>
      </c>
    </row>
    <row r="62" spans="1:15" x14ac:dyDescent="0.25">
      <c r="A62" s="83">
        <v>0</v>
      </c>
      <c r="B62" s="79">
        <v>15</v>
      </c>
      <c r="C62" s="79">
        <v>3</v>
      </c>
      <c r="D62" s="80">
        <v>3000</v>
      </c>
      <c r="E62" s="81">
        <f t="shared" si="0"/>
        <v>0</v>
      </c>
      <c r="O62" s="81">
        <f t="shared" si="5"/>
        <v>0</v>
      </c>
    </row>
    <row r="63" spans="1:15" x14ac:dyDescent="0.25">
      <c r="A63" s="83">
        <v>0</v>
      </c>
      <c r="B63" s="79">
        <v>15</v>
      </c>
      <c r="C63" s="79">
        <v>4</v>
      </c>
      <c r="D63" s="80">
        <v>3000</v>
      </c>
      <c r="E63" s="81">
        <f t="shared" si="0"/>
        <v>0</v>
      </c>
      <c r="O63" s="81">
        <f t="shared" si="5"/>
        <v>0</v>
      </c>
    </row>
    <row r="64" spans="1:15" x14ac:dyDescent="0.25">
      <c r="A64" s="83">
        <v>0</v>
      </c>
      <c r="B64" s="79">
        <v>15</v>
      </c>
      <c r="C64" s="79">
        <v>16</v>
      </c>
      <c r="D64" s="80">
        <v>1000</v>
      </c>
      <c r="E64" s="81">
        <f t="shared" si="0"/>
        <v>0</v>
      </c>
      <c r="O64" s="81">
        <f t="shared" si="5"/>
        <v>0</v>
      </c>
    </row>
    <row r="65" spans="1:15" x14ac:dyDescent="0.25">
      <c r="A65" s="83">
        <v>0</v>
      </c>
      <c r="B65" s="79">
        <v>16</v>
      </c>
      <c r="C65" s="79">
        <v>3</v>
      </c>
      <c r="D65" s="80">
        <v>3000</v>
      </c>
      <c r="E65" s="81">
        <f t="shared" si="0"/>
        <v>0</v>
      </c>
      <c r="O65" s="81">
        <f t="shared" si="5"/>
        <v>0</v>
      </c>
    </row>
    <row r="66" spans="1:15" x14ac:dyDescent="0.25">
      <c r="A66" s="83">
        <v>0</v>
      </c>
      <c r="B66" s="79">
        <v>16</v>
      </c>
      <c r="C66" s="79">
        <v>8</v>
      </c>
      <c r="D66" s="80">
        <v>3000</v>
      </c>
      <c r="E66" s="81">
        <f t="shared" si="0"/>
        <v>0</v>
      </c>
      <c r="O66" s="81">
        <f t="shared" si="5"/>
        <v>0</v>
      </c>
    </row>
    <row r="67" spans="1:15" x14ac:dyDescent="0.25">
      <c r="A67" s="83">
        <v>0</v>
      </c>
      <c r="B67" s="79">
        <v>16</v>
      </c>
      <c r="C67" s="79">
        <v>15</v>
      </c>
      <c r="D67" s="80">
        <v>1000</v>
      </c>
      <c r="E67" s="81">
        <f t="shared" ref="E67" si="6">D67*S68</f>
        <v>0</v>
      </c>
      <c r="O67" s="81">
        <f t="shared" ref="O67" si="7">A67/D67</f>
        <v>0</v>
      </c>
    </row>
    <row r="69" spans="1:15" x14ac:dyDescent="0.25">
      <c r="E69" s="8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8"/>
  <sheetViews>
    <sheetView workbookViewId="0">
      <selection activeCell="J27" sqref="J27"/>
    </sheetView>
  </sheetViews>
  <sheetFormatPr defaultColWidth="9.140625" defaultRowHeight="15" x14ac:dyDescent="0.25"/>
  <cols>
    <col min="1" max="1" width="9.140625" style="85"/>
    <col min="2" max="2" width="12.42578125" style="85" bestFit="1" customWidth="1"/>
    <col min="3" max="3" width="12" style="85" bestFit="1" customWidth="1"/>
    <col min="4" max="4" width="10.42578125" style="85" bestFit="1" customWidth="1"/>
    <col min="5" max="5" width="13.7109375" style="85" bestFit="1" customWidth="1"/>
    <col min="6" max="6" width="48.5703125" style="85" bestFit="1" customWidth="1"/>
    <col min="7" max="7" width="6.28515625" style="85" bestFit="1" customWidth="1"/>
    <col min="8" max="8" width="6.140625" style="85" bestFit="1" customWidth="1"/>
    <col min="9" max="12" width="18.85546875" style="85" customWidth="1"/>
    <col min="13" max="13" width="12.42578125" style="85" bestFit="1" customWidth="1"/>
    <col min="14" max="14" width="11.5703125" style="85" bestFit="1" customWidth="1"/>
    <col min="15" max="16384" width="9.140625" style="85"/>
  </cols>
  <sheetData>
    <row r="1" spans="1:14" x14ac:dyDescent="0.25">
      <c r="B1" s="86" t="s">
        <v>113</v>
      </c>
      <c r="C1" s="86" t="s">
        <v>114</v>
      </c>
      <c r="D1" s="86" t="s">
        <v>115</v>
      </c>
      <c r="E1" s="86" t="s">
        <v>116</v>
      </c>
      <c r="F1" s="86" t="s">
        <v>117</v>
      </c>
    </row>
    <row r="2" spans="1:14" x14ac:dyDescent="0.25">
      <c r="B2" s="87">
        <v>-5.7142857141414347E-3</v>
      </c>
      <c r="C2" s="87">
        <v>0.25357142856727116</v>
      </c>
      <c r="D2" s="87">
        <v>80.321428570163931</v>
      </c>
      <c r="E2" s="88">
        <v>1</v>
      </c>
      <c r="F2" s="88">
        <v>100000</v>
      </c>
      <c r="M2" s="163" t="s">
        <v>118</v>
      </c>
      <c r="N2" s="163"/>
    </row>
    <row r="3" spans="1:14" x14ac:dyDescent="0.25">
      <c r="M3" s="85" t="str">
        <f>B4</f>
        <v>Loan amount</v>
      </c>
      <c r="N3" s="85" t="str">
        <f>C4</f>
        <v>Credit score</v>
      </c>
    </row>
    <row r="4" spans="1:14" x14ac:dyDescent="0.25">
      <c r="A4" s="89" t="s">
        <v>119</v>
      </c>
      <c r="B4" s="89" t="s">
        <v>120</v>
      </c>
      <c r="C4" s="89" t="s">
        <v>121</v>
      </c>
      <c r="D4" s="89" t="s">
        <v>122</v>
      </c>
      <c r="E4" s="86" t="s">
        <v>123</v>
      </c>
      <c r="F4" s="86" t="s">
        <v>126</v>
      </c>
      <c r="G4" s="86" t="s">
        <v>127</v>
      </c>
      <c r="M4" s="85">
        <v>0</v>
      </c>
      <c r="N4" s="90">
        <f t="shared" ref="N4:N13" si="0">-M4*$B$2/$C$2+$D$2/$C$2</f>
        <v>316.76056338048778</v>
      </c>
    </row>
    <row r="5" spans="1:14" x14ac:dyDescent="0.25">
      <c r="A5" s="91">
        <v>1</v>
      </c>
      <c r="B5" s="92">
        <v>23700</v>
      </c>
      <c r="C5" s="93">
        <v>480</v>
      </c>
      <c r="D5" s="88" t="s">
        <v>124</v>
      </c>
      <c r="E5" s="94">
        <v>0</v>
      </c>
      <c r="F5" s="95">
        <f>SUMPRODUCT($B$2:$C$2,B5:C5)-$F$2*E5</f>
        <v>-13.714285712861837</v>
      </c>
      <c r="G5" s="95">
        <f>$D$2-$E$2</f>
        <v>79.321428570163931</v>
      </c>
      <c r="M5" s="85">
        <v>3000</v>
      </c>
      <c r="N5" s="90">
        <f t="shared" si="0"/>
        <v>384.36619718270612</v>
      </c>
    </row>
    <row r="6" spans="1:14" x14ac:dyDescent="0.25">
      <c r="A6" s="91">
        <v>2</v>
      </c>
      <c r="B6" s="92">
        <v>20900</v>
      </c>
      <c r="C6" s="93">
        <v>470</v>
      </c>
      <c r="D6" s="88" t="s">
        <v>124</v>
      </c>
      <c r="E6" s="94">
        <v>0</v>
      </c>
      <c r="F6" s="95">
        <f t="shared" ref="F6:F14" si="1">SUMPRODUCT($B$2:$C$2,B6:C6)-$F$2*E6</f>
        <v>-0.24999999893853442</v>
      </c>
      <c r="G6" s="95">
        <f t="shared" ref="G6:G14" si="2">$D$2-$E$2</f>
        <v>79.321428570163931</v>
      </c>
      <c r="M6" s="85">
        <v>6000</v>
      </c>
      <c r="N6" s="90">
        <f t="shared" si="0"/>
        <v>451.97183098492451</v>
      </c>
    </row>
    <row r="7" spans="1:14" x14ac:dyDescent="0.25">
      <c r="A7" s="91">
        <v>3</v>
      </c>
      <c r="B7" s="92">
        <v>14500</v>
      </c>
      <c r="C7" s="93">
        <v>760</v>
      </c>
      <c r="D7" s="88" t="s">
        <v>124</v>
      </c>
      <c r="E7" s="94">
        <v>1</v>
      </c>
      <c r="F7" s="95">
        <f t="shared" si="1"/>
        <v>-99890.142857143932</v>
      </c>
      <c r="G7" s="95">
        <f t="shared" si="2"/>
        <v>79.321428570163931</v>
      </c>
      <c r="M7" s="85">
        <v>9000</v>
      </c>
      <c r="N7" s="90">
        <f t="shared" si="0"/>
        <v>519.57746478714284</v>
      </c>
    </row>
    <row r="8" spans="1:14" x14ac:dyDescent="0.25">
      <c r="A8" s="91">
        <v>4</v>
      </c>
      <c r="B8" s="92">
        <v>20800</v>
      </c>
      <c r="C8" s="93">
        <v>680</v>
      </c>
      <c r="D8" s="88" t="s">
        <v>124</v>
      </c>
      <c r="E8" s="94">
        <v>0</v>
      </c>
      <c r="F8" s="95">
        <f t="shared" si="1"/>
        <v>53.571428571602553</v>
      </c>
      <c r="G8" s="95">
        <f t="shared" si="2"/>
        <v>79.321428570163931</v>
      </c>
      <c r="M8" s="85">
        <v>12000</v>
      </c>
      <c r="N8" s="90">
        <f t="shared" si="0"/>
        <v>587.18309858936118</v>
      </c>
    </row>
    <row r="9" spans="1:14" x14ac:dyDescent="0.25">
      <c r="A9" s="91">
        <v>5</v>
      </c>
      <c r="B9" s="92">
        <v>24100</v>
      </c>
      <c r="C9" s="93">
        <v>630</v>
      </c>
      <c r="D9" s="88" t="s">
        <v>124</v>
      </c>
      <c r="E9" s="94">
        <v>0</v>
      </c>
      <c r="F9" s="95">
        <f t="shared" si="1"/>
        <v>22.035714286572244</v>
      </c>
      <c r="G9" s="95">
        <f t="shared" si="2"/>
        <v>79.321428570163931</v>
      </c>
      <c r="M9" s="85">
        <v>15000</v>
      </c>
      <c r="N9" s="90">
        <f t="shared" si="0"/>
        <v>654.78873239157952</v>
      </c>
    </row>
    <row r="10" spans="1:14" x14ac:dyDescent="0.25">
      <c r="A10" s="91">
        <v>6</v>
      </c>
      <c r="B10" s="92">
        <v>19400</v>
      </c>
      <c r="C10" s="93">
        <v>750</v>
      </c>
      <c r="D10" s="88" t="s">
        <v>124</v>
      </c>
      <c r="E10" s="94">
        <v>0</v>
      </c>
      <c r="F10" s="95">
        <f t="shared" si="1"/>
        <v>79.32142857110955</v>
      </c>
      <c r="G10" s="95">
        <f t="shared" si="2"/>
        <v>79.321428570163931</v>
      </c>
      <c r="M10" s="85">
        <v>18000</v>
      </c>
      <c r="N10" s="90">
        <f t="shared" si="0"/>
        <v>722.39436619379785</v>
      </c>
    </row>
    <row r="11" spans="1:14" x14ac:dyDescent="0.25">
      <c r="A11" s="91">
        <v>7</v>
      </c>
      <c r="B11" s="92">
        <v>12300</v>
      </c>
      <c r="C11" s="93">
        <v>590</v>
      </c>
      <c r="D11" s="88" t="s">
        <v>124</v>
      </c>
      <c r="E11" s="94">
        <v>0</v>
      </c>
      <c r="F11" s="95">
        <f t="shared" si="1"/>
        <v>79.321428570750342</v>
      </c>
      <c r="G11" s="95">
        <f t="shared" si="2"/>
        <v>79.321428570163931</v>
      </c>
      <c r="M11" s="85">
        <v>21000</v>
      </c>
      <c r="N11" s="90">
        <f t="shared" si="0"/>
        <v>789.9999999960163</v>
      </c>
    </row>
    <row r="12" spans="1:14" x14ac:dyDescent="0.25">
      <c r="A12" s="91">
        <v>8</v>
      </c>
      <c r="B12" s="92">
        <v>20700</v>
      </c>
      <c r="C12" s="93">
        <v>620</v>
      </c>
      <c r="D12" s="88" t="s">
        <v>124</v>
      </c>
      <c r="E12" s="94">
        <v>0</v>
      </c>
      <c r="F12" s="95">
        <f t="shared" si="1"/>
        <v>38.928571428980433</v>
      </c>
      <c r="G12" s="95">
        <f t="shared" si="2"/>
        <v>79.321428570163931</v>
      </c>
      <c r="M12" s="85">
        <v>24000</v>
      </c>
      <c r="N12" s="90">
        <f t="shared" si="0"/>
        <v>857.60563379823452</v>
      </c>
    </row>
    <row r="13" spans="1:14" x14ac:dyDescent="0.25">
      <c r="A13" s="91">
        <v>9</v>
      </c>
      <c r="B13" s="92">
        <v>19800</v>
      </c>
      <c r="C13" s="93">
        <v>530</v>
      </c>
      <c r="D13" s="88" t="s">
        <v>124</v>
      </c>
      <c r="E13" s="94">
        <v>0</v>
      </c>
      <c r="F13" s="95">
        <f t="shared" si="1"/>
        <v>21.250000000653316</v>
      </c>
      <c r="G13" s="95">
        <f t="shared" si="2"/>
        <v>79.321428570163931</v>
      </c>
      <c r="M13" s="85">
        <v>27000</v>
      </c>
      <c r="N13" s="90">
        <f t="shared" si="0"/>
        <v>925.21126760045308</v>
      </c>
    </row>
    <row r="14" spans="1:14" x14ac:dyDescent="0.25">
      <c r="A14" s="91">
        <v>10</v>
      </c>
      <c r="B14" s="92">
        <v>19100</v>
      </c>
      <c r="C14" s="93">
        <v>720</v>
      </c>
      <c r="D14" s="88" t="s">
        <v>124</v>
      </c>
      <c r="E14" s="94">
        <v>0</v>
      </c>
      <c r="F14" s="95">
        <f t="shared" si="1"/>
        <v>73.428571428333839</v>
      </c>
      <c r="G14" s="95">
        <f t="shared" si="2"/>
        <v>79.321428570163931</v>
      </c>
    </row>
    <row r="16" spans="1:14" x14ac:dyDescent="0.25">
      <c r="A16" s="89" t="s">
        <v>119</v>
      </c>
      <c r="B16" s="89" t="s">
        <v>120</v>
      </c>
      <c r="C16" s="89" t="s">
        <v>121</v>
      </c>
      <c r="D16" s="89" t="s">
        <v>122</v>
      </c>
      <c r="E16" s="86" t="s">
        <v>123</v>
      </c>
      <c r="F16" s="86" t="s">
        <v>128</v>
      </c>
      <c r="G16" s="86" t="s">
        <v>129</v>
      </c>
    </row>
    <row r="17" spans="1:12" x14ac:dyDescent="0.25">
      <c r="A17" s="91">
        <v>11</v>
      </c>
      <c r="B17" s="92">
        <v>19300</v>
      </c>
      <c r="C17" s="93">
        <v>720</v>
      </c>
      <c r="D17" s="88" t="s">
        <v>125</v>
      </c>
      <c r="E17" s="94">
        <v>1</v>
      </c>
      <c r="F17" s="95">
        <f>SUMPRODUCT($B$2:$C$2,B17:C17)+$F$2*E17</f>
        <v>100072.28571428551</v>
      </c>
      <c r="G17" s="95">
        <f>$D$2+$E$2</f>
        <v>81.321428570163931</v>
      </c>
    </row>
    <row r="18" spans="1:12" x14ac:dyDescent="0.25">
      <c r="A18" s="91">
        <v>12</v>
      </c>
      <c r="B18" s="92">
        <v>15100</v>
      </c>
      <c r="C18" s="93">
        <v>800</v>
      </c>
      <c r="D18" s="88" t="s">
        <v>125</v>
      </c>
      <c r="E18" s="94">
        <v>0</v>
      </c>
      <c r="F18" s="95">
        <f t="shared" ref="F18:F26" si="3">SUMPRODUCT($B$2:$C$2,B18:C18)+$F$2*E18</f>
        <v>116.57142857028126</v>
      </c>
      <c r="G18" s="95">
        <f t="shared" ref="G18:G26" si="4">$D$2+$E$2</f>
        <v>81.321428570163931</v>
      </c>
    </row>
    <row r="19" spans="1:12" x14ac:dyDescent="0.25">
      <c r="A19" s="91">
        <v>13</v>
      </c>
      <c r="B19" s="92">
        <v>15500</v>
      </c>
      <c r="C19" s="93">
        <v>670</v>
      </c>
      <c r="D19" s="88" t="s">
        <v>125</v>
      </c>
      <c r="E19" s="94">
        <v>0</v>
      </c>
      <c r="F19" s="95">
        <f t="shared" si="3"/>
        <v>81.321428570879434</v>
      </c>
      <c r="G19" s="95">
        <f t="shared" si="4"/>
        <v>81.321428570163931</v>
      </c>
    </row>
    <row r="20" spans="1:12" x14ac:dyDescent="0.25">
      <c r="A20" s="91">
        <v>14</v>
      </c>
      <c r="B20" s="92">
        <v>16200</v>
      </c>
      <c r="C20" s="93">
        <v>640</v>
      </c>
      <c r="D20" s="88" t="s">
        <v>125</v>
      </c>
      <c r="E20" s="94">
        <v>1</v>
      </c>
      <c r="F20" s="95">
        <f t="shared" si="3"/>
        <v>100069.71428571396</v>
      </c>
      <c r="G20" s="95">
        <f t="shared" si="4"/>
        <v>81.321428570163931</v>
      </c>
    </row>
    <row r="21" spans="1:12" x14ac:dyDescent="0.25">
      <c r="A21" s="91">
        <v>15</v>
      </c>
      <c r="B21" s="92">
        <v>13400</v>
      </c>
      <c r="C21" s="93">
        <v>790</v>
      </c>
      <c r="D21" s="88" t="s">
        <v>125</v>
      </c>
      <c r="E21" s="94">
        <v>0</v>
      </c>
      <c r="F21" s="95">
        <f t="shared" si="3"/>
        <v>123.749999998649</v>
      </c>
      <c r="G21" s="95">
        <f t="shared" si="4"/>
        <v>81.321428570163931</v>
      </c>
    </row>
    <row r="22" spans="1:12" x14ac:dyDescent="0.25">
      <c r="A22" s="91">
        <v>16</v>
      </c>
      <c r="B22" s="92">
        <v>12500</v>
      </c>
      <c r="C22" s="93">
        <v>850</v>
      </c>
      <c r="D22" s="88" t="s">
        <v>125</v>
      </c>
      <c r="E22" s="94">
        <v>0</v>
      </c>
      <c r="F22" s="95">
        <f t="shared" si="3"/>
        <v>144.10714285541258</v>
      </c>
      <c r="G22" s="95">
        <f t="shared" si="4"/>
        <v>81.321428570163931</v>
      </c>
    </row>
    <row r="23" spans="1:12" x14ac:dyDescent="0.25">
      <c r="A23" s="91">
        <v>17</v>
      </c>
      <c r="B23" s="92">
        <v>10600</v>
      </c>
      <c r="C23" s="93">
        <v>810</v>
      </c>
      <c r="D23" s="88" t="s">
        <v>125</v>
      </c>
      <c r="E23" s="94">
        <v>0</v>
      </c>
      <c r="F23" s="95">
        <f t="shared" si="3"/>
        <v>144.82142856959044</v>
      </c>
      <c r="G23" s="95">
        <f t="shared" si="4"/>
        <v>81.321428570163931</v>
      </c>
      <c r="J23" s="96"/>
    </row>
    <row r="24" spans="1:12" x14ac:dyDescent="0.25">
      <c r="A24" s="91">
        <v>18</v>
      </c>
      <c r="B24" s="92">
        <v>14800</v>
      </c>
      <c r="C24" s="93">
        <v>790</v>
      </c>
      <c r="D24" s="88" t="s">
        <v>125</v>
      </c>
      <c r="E24" s="94">
        <v>0</v>
      </c>
      <c r="F24" s="95">
        <f t="shared" si="3"/>
        <v>115.749999998851</v>
      </c>
      <c r="G24" s="95">
        <f t="shared" si="4"/>
        <v>81.321428570163931</v>
      </c>
      <c r="J24" s="96"/>
    </row>
    <row r="25" spans="1:12" x14ac:dyDescent="0.25">
      <c r="A25" s="91">
        <v>19</v>
      </c>
      <c r="B25" s="92">
        <v>13500</v>
      </c>
      <c r="C25" s="93">
        <v>660</v>
      </c>
      <c r="D25" s="88" t="s">
        <v>125</v>
      </c>
      <c r="E25" s="94">
        <v>0</v>
      </c>
      <c r="F25" s="95">
        <f t="shared" si="3"/>
        <v>90.214285713489602</v>
      </c>
      <c r="G25" s="95">
        <f t="shared" si="4"/>
        <v>81.321428570163931</v>
      </c>
      <c r="J25" s="96"/>
    </row>
    <row r="26" spans="1:12" x14ac:dyDescent="0.25">
      <c r="A26" s="91">
        <v>20</v>
      </c>
      <c r="B26" s="92">
        <v>10400</v>
      </c>
      <c r="C26" s="93">
        <v>830</v>
      </c>
      <c r="D26" s="88" t="s">
        <v>125</v>
      </c>
      <c r="E26" s="94">
        <v>0</v>
      </c>
      <c r="F26" s="95">
        <f t="shared" si="3"/>
        <v>151.03571428376415</v>
      </c>
      <c r="G26" s="95">
        <f t="shared" si="4"/>
        <v>81.321428570163931</v>
      </c>
      <c r="J26" s="96"/>
    </row>
    <row r="27" spans="1:12" x14ac:dyDescent="0.25">
      <c r="I27" s="186" t="s">
        <v>522</v>
      </c>
      <c r="J27" s="187">
        <f>SUM(E5:E14,E17:E26)</f>
        <v>3</v>
      </c>
    </row>
    <row r="28" spans="1:12" x14ac:dyDescent="0.25">
      <c r="D28" s="25"/>
      <c r="E28" s="25"/>
      <c r="F28" s="186" t="s">
        <v>521</v>
      </c>
      <c r="J28" s="96"/>
    </row>
    <row r="29" spans="1:12" x14ac:dyDescent="0.25">
      <c r="A29" s="157">
        <v>1</v>
      </c>
      <c r="B29" s="92">
        <v>23700</v>
      </c>
      <c r="C29" s="93">
        <v>480</v>
      </c>
      <c r="D29" s="88" t="s">
        <v>124</v>
      </c>
      <c r="E29" s="85" t="str">
        <f>IF(($B$2*B29+$C$2*C29)&gt;$D$2,"No Default","Default")</f>
        <v>Default</v>
      </c>
      <c r="F29" s="85">
        <f>IF(D29=E29,0,1)</f>
        <v>0</v>
      </c>
      <c r="I29" s="174" t="s">
        <v>517</v>
      </c>
      <c r="J29" s="175"/>
      <c r="K29" s="175" t="s">
        <v>518</v>
      </c>
      <c r="L29" s="176"/>
    </row>
    <row r="30" spans="1:12" x14ac:dyDescent="0.25">
      <c r="A30" s="157">
        <v>2</v>
      </c>
      <c r="B30" s="92">
        <v>20900</v>
      </c>
      <c r="C30" s="93">
        <v>470</v>
      </c>
      <c r="D30" s="88" t="s">
        <v>124</v>
      </c>
      <c r="E30" s="85" t="str">
        <f t="shared" ref="E30:E48" si="5">IF(($B$2*B30+$C$2*C30)&gt;$D$2,"No Default","Default")</f>
        <v>Default</v>
      </c>
      <c r="F30" s="85">
        <f t="shared" ref="F30:F48" si="6">IF(D30=E30,0,1)</f>
        <v>0</v>
      </c>
      <c r="I30" s="177"/>
      <c r="J30" s="178"/>
      <c r="K30" s="183" t="s">
        <v>124</v>
      </c>
      <c r="L30" s="184" t="s">
        <v>520</v>
      </c>
    </row>
    <row r="31" spans="1:12" x14ac:dyDescent="0.25">
      <c r="A31" s="157">
        <v>3</v>
      </c>
      <c r="B31" s="92">
        <v>14500</v>
      </c>
      <c r="C31" s="93">
        <v>760</v>
      </c>
      <c r="D31" s="88" t="s">
        <v>124</v>
      </c>
      <c r="E31" s="85" t="str">
        <f t="shared" si="5"/>
        <v>No Default</v>
      </c>
      <c r="F31" s="85">
        <f t="shared" si="6"/>
        <v>1</v>
      </c>
      <c r="I31" s="177" t="s">
        <v>519</v>
      </c>
      <c r="J31" s="183" t="s">
        <v>124</v>
      </c>
      <c r="K31" s="178">
        <f>COUNT(F29:F38)-L31</f>
        <v>9</v>
      </c>
      <c r="L31" s="179">
        <f>SUM(F29:F38)</f>
        <v>1</v>
      </c>
    </row>
    <row r="32" spans="1:12" x14ac:dyDescent="0.25">
      <c r="A32" s="157">
        <v>4</v>
      </c>
      <c r="B32" s="92">
        <v>20800</v>
      </c>
      <c r="C32" s="93">
        <v>680</v>
      </c>
      <c r="D32" s="88" t="s">
        <v>124</v>
      </c>
      <c r="E32" s="85" t="str">
        <f t="shared" si="5"/>
        <v>Default</v>
      </c>
      <c r="F32" s="85">
        <f t="shared" si="6"/>
        <v>0</v>
      </c>
      <c r="I32" s="180"/>
      <c r="J32" s="185" t="s">
        <v>520</v>
      </c>
      <c r="K32" s="181">
        <f>SUM(F39:F48)</f>
        <v>2</v>
      </c>
      <c r="L32" s="182">
        <f>COUNT(F39:F48)-K32</f>
        <v>8</v>
      </c>
    </row>
    <row r="33" spans="1:6" x14ac:dyDescent="0.25">
      <c r="A33" s="157">
        <v>5</v>
      </c>
      <c r="B33" s="92">
        <v>24100</v>
      </c>
      <c r="C33" s="93">
        <v>630</v>
      </c>
      <c r="D33" s="88" t="s">
        <v>124</v>
      </c>
      <c r="E33" s="85" t="str">
        <f t="shared" si="5"/>
        <v>Default</v>
      </c>
      <c r="F33" s="85">
        <f t="shared" si="6"/>
        <v>0</v>
      </c>
    </row>
    <row r="34" spans="1:6" x14ac:dyDescent="0.25">
      <c r="A34" s="157">
        <v>6</v>
      </c>
      <c r="B34" s="92">
        <v>19400</v>
      </c>
      <c r="C34" s="93">
        <v>750</v>
      </c>
      <c r="D34" s="88" t="s">
        <v>124</v>
      </c>
      <c r="E34" s="85" t="str">
        <f t="shared" si="5"/>
        <v>Default</v>
      </c>
      <c r="F34" s="85">
        <f t="shared" si="6"/>
        <v>0</v>
      </c>
    </row>
    <row r="35" spans="1:6" x14ac:dyDescent="0.25">
      <c r="A35" s="157">
        <v>7</v>
      </c>
      <c r="B35" s="92">
        <v>12300</v>
      </c>
      <c r="C35" s="93">
        <v>590</v>
      </c>
      <c r="D35" s="88" t="s">
        <v>124</v>
      </c>
      <c r="E35" s="85" t="str">
        <f t="shared" si="5"/>
        <v>Default</v>
      </c>
      <c r="F35" s="85">
        <f t="shared" si="6"/>
        <v>0</v>
      </c>
    </row>
    <row r="36" spans="1:6" x14ac:dyDescent="0.25">
      <c r="A36" s="157">
        <v>8</v>
      </c>
      <c r="B36" s="92">
        <v>20700</v>
      </c>
      <c r="C36" s="93">
        <v>620</v>
      </c>
      <c r="D36" s="88" t="s">
        <v>124</v>
      </c>
      <c r="E36" s="85" t="str">
        <f t="shared" si="5"/>
        <v>Default</v>
      </c>
      <c r="F36" s="85">
        <f t="shared" si="6"/>
        <v>0</v>
      </c>
    </row>
    <row r="37" spans="1:6" x14ac:dyDescent="0.25">
      <c r="A37" s="157">
        <v>9</v>
      </c>
      <c r="B37" s="92">
        <v>19800</v>
      </c>
      <c r="C37" s="93">
        <v>530</v>
      </c>
      <c r="D37" s="88" t="s">
        <v>124</v>
      </c>
      <c r="E37" s="85" t="str">
        <f t="shared" si="5"/>
        <v>Default</v>
      </c>
      <c r="F37" s="85">
        <f t="shared" si="6"/>
        <v>0</v>
      </c>
    </row>
    <row r="38" spans="1:6" x14ac:dyDescent="0.25">
      <c r="A38" s="157">
        <v>10</v>
      </c>
      <c r="B38" s="92">
        <v>19100</v>
      </c>
      <c r="C38" s="93">
        <v>720</v>
      </c>
      <c r="D38" s="88" t="s">
        <v>124</v>
      </c>
      <c r="E38" s="85" t="str">
        <f t="shared" si="5"/>
        <v>Default</v>
      </c>
      <c r="F38" s="85">
        <f t="shared" si="6"/>
        <v>0</v>
      </c>
    </row>
    <row r="39" spans="1:6" x14ac:dyDescent="0.25">
      <c r="A39" s="157">
        <v>11</v>
      </c>
      <c r="B39" s="92">
        <v>19300</v>
      </c>
      <c r="C39" s="93">
        <v>720</v>
      </c>
      <c r="D39" s="88" t="s">
        <v>125</v>
      </c>
      <c r="E39" s="85" t="str">
        <f t="shared" si="5"/>
        <v>Default</v>
      </c>
      <c r="F39" s="85">
        <f t="shared" si="6"/>
        <v>1</v>
      </c>
    </row>
    <row r="40" spans="1:6" x14ac:dyDescent="0.25">
      <c r="A40" s="157">
        <v>12</v>
      </c>
      <c r="B40" s="92">
        <v>15100</v>
      </c>
      <c r="C40" s="93">
        <v>800</v>
      </c>
      <c r="D40" s="88" t="s">
        <v>125</v>
      </c>
      <c r="E40" s="85" t="str">
        <f t="shared" si="5"/>
        <v>No Default</v>
      </c>
      <c r="F40" s="85">
        <f t="shared" si="6"/>
        <v>0</v>
      </c>
    </row>
    <row r="41" spans="1:6" x14ac:dyDescent="0.25">
      <c r="A41" s="157">
        <v>13</v>
      </c>
      <c r="B41" s="92">
        <v>15500</v>
      </c>
      <c r="C41" s="93">
        <v>670</v>
      </c>
      <c r="D41" s="88" t="s">
        <v>125</v>
      </c>
      <c r="E41" s="85" t="str">
        <f t="shared" si="5"/>
        <v>No Default</v>
      </c>
      <c r="F41" s="85">
        <f t="shared" si="6"/>
        <v>0</v>
      </c>
    </row>
    <row r="42" spans="1:6" x14ac:dyDescent="0.25">
      <c r="A42" s="157">
        <v>14</v>
      </c>
      <c r="B42" s="92">
        <v>16200</v>
      </c>
      <c r="C42" s="93">
        <v>640</v>
      </c>
      <c r="D42" s="88" t="s">
        <v>125</v>
      </c>
      <c r="E42" s="85" t="str">
        <f t="shared" si="5"/>
        <v>Default</v>
      </c>
      <c r="F42" s="85">
        <f t="shared" si="6"/>
        <v>1</v>
      </c>
    </row>
    <row r="43" spans="1:6" x14ac:dyDescent="0.25">
      <c r="A43" s="157">
        <v>15</v>
      </c>
      <c r="B43" s="92">
        <v>13400</v>
      </c>
      <c r="C43" s="93">
        <v>790</v>
      </c>
      <c r="D43" s="88" t="s">
        <v>125</v>
      </c>
      <c r="E43" s="85" t="str">
        <f t="shared" si="5"/>
        <v>No Default</v>
      </c>
      <c r="F43" s="85">
        <f t="shared" si="6"/>
        <v>0</v>
      </c>
    </row>
    <row r="44" spans="1:6" x14ac:dyDescent="0.25">
      <c r="A44" s="157">
        <v>16</v>
      </c>
      <c r="B44" s="92">
        <v>12500</v>
      </c>
      <c r="C44" s="93">
        <v>850</v>
      </c>
      <c r="D44" s="88" t="s">
        <v>125</v>
      </c>
      <c r="E44" s="85" t="str">
        <f t="shared" si="5"/>
        <v>No Default</v>
      </c>
      <c r="F44" s="85">
        <f t="shared" si="6"/>
        <v>0</v>
      </c>
    </row>
    <row r="45" spans="1:6" x14ac:dyDescent="0.25">
      <c r="A45" s="157">
        <v>17</v>
      </c>
      <c r="B45" s="92">
        <v>10600</v>
      </c>
      <c r="C45" s="93">
        <v>810</v>
      </c>
      <c r="D45" s="88" t="s">
        <v>125</v>
      </c>
      <c r="E45" s="85" t="str">
        <f t="shared" si="5"/>
        <v>No Default</v>
      </c>
      <c r="F45" s="85">
        <f t="shared" si="6"/>
        <v>0</v>
      </c>
    </row>
    <row r="46" spans="1:6" x14ac:dyDescent="0.25">
      <c r="A46" s="157">
        <v>18</v>
      </c>
      <c r="B46" s="92">
        <v>14800</v>
      </c>
      <c r="C46" s="93">
        <v>790</v>
      </c>
      <c r="D46" s="88" t="s">
        <v>125</v>
      </c>
      <c r="E46" s="85" t="str">
        <f t="shared" si="5"/>
        <v>No Default</v>
      </c>
      <c r="F46" s="85">
        <f t="shared" si="6"/>
        <v>0</v>
      </c>
    </row>
    <row r="47" spans="1:6" x14ac:dyDescent="0.25">
      <c r="A47" s="157">
        <v>19</v>
      </c>
      <c r="B47" s="92">
        <v>13500</v>
      </c>
      <c r="C47" s="93">
        <v>660</v>
      </c>
      <c r="D47" s="88" t="s">
        <v>125</v>
      </c>
      <c r="E47" s="85" t="str">
        <f t="shared" si="5"/>
        <v>No Default</v>
      </c>
      <c r="F47" s="85">
        <f t="shared" si="6"/>
        <v>0</v>
      </c>
    </row>
    <row r="48" spans="1:6" x14ac:dyDescent="0.25">
      <c r="A48" s="157">
        <v>20</v>
      </c>
      <c r="B48" s="92">
        <v>10400</v>
      </c>
      <c r="C48" s="93">
        <v>830</v>
      </c>
      <c r="D48" s="88" t="s">
        <v>125</v>
      </c>
      <c r="E48" s="85" t="str">
        <f t="shared" si="5"/>
        <v>No Default</v>
      </c>
      <c r="F48" s="85">
        <f t="shared" si="6"/>
        <v>0</v>
      </c>
    </row>
  </sheetData>
  <mergeCells count="1">
    <mergeCell ref="M2:N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732"/>
  <sheetViews>
    <sheetView workbookViewId="0">
      <pane ySplit="4335" topLeftCell="A704" activePane="bottomLeft"/>
      <selection activeCell="A2" sqref="A2"/>
      <selection pane="bottomLeft" activeCell="G741" sqref="G741"/>
    </sheetView>
  </sheetViews>
  <sheetFormatPr defaultColWidth="9.140625" defaultRowHeight="12.75" x14ac:dyDescent="0.2"/>
  <cols>
    <col min="1" max="2" width="9.140625" style="97"/>
    <col min="3" max="3" width="2.42578125" style="97" customWidth="1"/>
    <col min="4" max="4" width="25.7109375" style="97" customWidth="1"/>
    <col min="5" max="5" width="29" style="97" bestFit="1" customWidth="1"/>
    <col min="6" max="6" width="9.5703125" style="97" bestFit="1" customWidth="1"/>
    <col min="7" max="7" width="9.28515625" style="97" bestFit="1" customWidth="1"/>
    <col min="8" max="8" width="3" style="97" customWidth="1"/>
    <col min="9" max="9" width="23.85546875" style="97" bestFit="1" customWidth="1"/>
    <col min="10" max="10" width="11.28515625" style="97" bestFit="1" customWidth="1"/>
    <col min="11" max="16384" width="9.140625" style="97"/>
  </cols>
  <sheetData>
    <row r="2" spans="1:11" ht="25.5" x14ac:dyDescent="0.2">
      <c r="A2" s="98" t="s">
        <v>136</v>
      </c>
      <c r="B2" s="98" t="s">
        <v>111</v>
      </c>
      <c r="D2" s="99" t="s">
        <v>137</v>
      </c>
      <c r="E2" s="99" t="s">
        <v>138</v>
      </c>
      <c r="F2" s="99" t="s">
        <v>139</v>
      </c>
      <c r="G2" s="100" t="s">
        <v>140</v>
      </c>
    </row>
    <row r="3" spans="1:11" x14ac:dyDescent="0.2">
      <c r="A3" s="97">
        <v>1</v>
      </c>
      <c r="B3" s="101">
        <v>3123</v>
      </c>
      <c r="D3" s="97">
        <f>A3</f>
        <v>1</v>
      </c>
      <c r="E3" s="97">
        <f>A9</f>
        <v>7</v>
      </c>
      <c r="F3" s="97">
        <f>SUM(B3:B9)</f>
        <v>14651</v>
      </c>
      <c r="G3" s="97">
        <f>MAX(F3-$J$5,0)</f>
        <v>9651</v>
      </c>
    </row>
    <row r="4" spans="1:11" x14ac:dyDescent="0.2">
      <c r="A4" s="97">
        <v>2</v>
      </c>
      <c r="B4" s="101">
        <v>975</v>
      </c>
      <c r="D4" s="97">
        <f t="shared" ref="D4:D67" si="0">A4</f>
        <v>2</v>
      </c>
      <c r="E4" s="97">
        <f t="shared" ref="E4:E67" si="1">A10</f>
        <v>8</v>
      </c>
      <c r="F4" s="97">
        <f t="shared" ref="F4:F67" si="2">SUM(B4:B10)</f>
        <v>13308</v>
      </c>
      <c r="G4" s="97">
        <f t="shared" ref="G4:G67" si="3">MAX(F4-$J$5,0)</f>
        <v>8308</v>
      </c>
      <c r="I4" s="102" t="s">
        <v>141</v>
      </c>
      <c r="J4" s="101">
        <v>7</v>
      </c>
      <c r="K4" s="97" t="s">
        <v>142</v>
      </c>
    </row>
    <row r="5" spans="1:11" x14ac:dyDescent="0.2">
      <c r="A5" s="97">
        <v>3</v>
      </c>
      <c r="B5" s="101">
        <v>2441</v>
      </c>
      <c r="D5" s="97">
        <f t="shared" si="0"/>
        <v>3</v>
      </c>
      <c r="E5" s="97">
        <f t="shared" si="1"/>
        <v>9</v>
      </c>
      <c r="F5" s="97">
        <f t="shared" si="2"/>
        <v>13688</v>
      </c>
      <c r="G5" s="97">
        <f t="shared" si="3"/>
        <v>8688</v>
      </c>
      <c r="I5" s="102" t="s">
        <v>143</v>
      </c>
      <c r="J5" s="103">
        <v>5000</v>
      </c>
      <c r="K5" s="97" t="s">
        <v>144</v>
      </c>
    </row>
    <row r="6" spans="1:11" x14ac:dyDescent="0.2">
      <c r="A6" s="97">
        <v>4</v>
      </c>
      <c r="B6" s="101">
        <v>688</v>
      </c>
      <c r="D6" s="97">
        <f t="shared" si="0"/>
        <v>4</v>
      </c>
      <c r="E6" s="97">
        <f t="shared" si="1"/>
        <v>10</v>
      </c>
      <c r="F6" s="97">
        <f t="shared" si="2"/>
        <v>12722</v>
      </c>
      <c r="G6" s="97">
        <f t="shared" si="3"/>
        <v>7722</v>
      </c>
      <c r="I6" s="102" t="s">
        <v>145</v>
      </c>
      <c r="J6" s="103">
        <v>100000</v>
      </c>
      <c r="K6" s="97" t="s">
        <v>144</v>
      </c>
    </row>
    <row r="7" spans="1:11" x14ac:dyDescent="0.2">
      <c r="A7" s="97">
        <v>5</v>
      </c>
      <c r="B7" s="101">
        <v>3076</v>
      </c>
      <c r="D7" s="97">
        <f t="shared" si="0"/>
        <v>5</v>
      </c>
      <c r="E7" s="97">
        <f t="shared" si="1"/>
        <v>11</v>
      </c>
      <c r="F7" s="97">
        <f t="shared" si="2"/>
        <v>14649</v>
      </c>
      <c r="G7" s="97">
        <f t="shared" si="3"/>
        <v>9649</v>
      </c>
    </row>
    <row r="8" spans="1:11" x14ac:dyDescent="0.2">
      <c r="A8" s="97">
        <v>6</v>
      </c>
      <c r="B8" s="101">
        <v>1865</v>
      </c>
      <c r="D8" s="97">
        <f t="shared" si="0"/>
        <v>6</v>
      </c>
      <c r="E8" s="97">
        <f t="shared" si="1"/>
        <v>12</v>
      </c>
      <c r="F8" s="97">
        <f t="shared" si="2"/>
        <v>12961</v>
      </c>
      <c r="G8" s="97">
        <f t="shared" si="3"/>
        <v>7961</v>
      </c>
      <c r="I8" s="102" t="s">
        <v>146</v>
      </c>
      <c r="J8" s="97">
        <f>SUM(B3:B732)/2</f>
        <v>684422</v>
      </c>
      <c r="K8" s="97" t="s">
        <v>147</v>
      </c>
    </row>
    <row r="9" spans="1:11" x14ac:dyDescent="0.2">
      <c r="A9" s="97">
        <v>7</v>
      </c>
      <c r="B9" s="101">
        <v>2483</v>
      </c>
      <c r="D9" s="97">
        <f t="shared" si="0"/>
        <v>7</v>
      </c>
      <c r="E9" s="97">
        <f t="shared" si="1"/>
        <v>13</v>
      </c>
      <c r="F9" s="97">
        <f t="shared" si="2"/>
        <v>13564</v>
      </c>
      <c r="G9" s="97">
        <f t="shared" si="3"/>
        <v>8564</v>
      </c>
      <c r="I9" s="102" t="s">
        <v>148</v>
      </c>
      <c r="J9" s="104">
        <f>J8/J6</f>
        <v>6.84422</v>
      </c>
      <c r="K9" s="97" t="s">
        <v>149</v>
      </c>
    </row>
    <row r="10" spans="1:11" x14ac:dyDescent="0.2">
      <c r="A10" s="97">
        <v>8</v>
      </c>
      <c r="B10" s="101">
        <v>1780</v>
      </c>
      <c r="D10" s="97">
        <f t="shared" si="0"/>
        <v>8</v>
      </c>
      <c r="E10" s="97">
        <f t="shared" si="1"/>
        <v>14</v>
      </c>
      <c r="F10" s="97">
        <f t="shared" si="2"/>
        <v>11820</v>
      </c>
      <c r="G10" s="97">
        <f t="shared" si="3"/>
        <v>6820</v>
      </c>
      <c r="I10" s="102" t="s">
        <v>150</v>
      </c>
      <c r="J10" s="104">
        <f>AVERAGE(G3:G726)</f>
        <v>8134.5165745856357</v>
      </c>
      <c r="K10" s="97" t="s">
        <v>144</v>
      </c>
    </row>
    <row r="11" spans="1:11" x14ac:dyDescent="0.2">
      <c r="A11" s="97">
        <v>9</v>
      </c>
      <c r="B11" s="101">
        <v>1355</v>
      </c>
      <c r="D11" s="97">
        <f t="shared" si="0"/>
        <v>9</v>
      </c>
      <c r="E11" s="97">
        <f t="shared" si="1"/>
        <v>15</v>
      </c>
      <c r="F11" s="97">
        <f t="shared" si="2"/>
        <v>12525</v>
      </c>
      <c r="G11" s="97">
        <f t="shared" si="3"/>
        <v>7525</v>
      </c>
      <c r="I11" s="102" t="s">
        <v>140</v>
      </c>
      <c r="J11" s="97">
        <f>J9*J10</f>
        <v>55674.421030110498</v>
      </c>
      <c r="K11" s="97" t="s">
        <v>147</v>
      </c>
    </row>
    <row r="12" spans="1:11" x14ac:dyDescent="0.2">
      <c r="A12" s="97">
        <v>10</v>
      </c>
      <c r="B12" s="101">
        <v>1475</v>
      </c>
      <c r="D12" s="97">
        <f t="shared" si="0"/>
        <v>10</v>
      </c>
      <c r="E12" s="97">
        <f t="shared" si="1"/>
        <v>16</v>
      </c>
      <c r="F12" s="97">
        <f t="shared" si="2"/>
        <v>13256</v>
      </c>
      <c r="G12" s="97">
        <f t="shared" si="3"/>
        <v>8256</v>
      </c>
      <c r="I12" s="102" t="s">
        <v>151</v>
      </c>
      <c r="J12" s="104">
        <f>J8-J11</f>
        <v>628747.57896988955</v>
      </c>
      <c r="K12" s="97" t="s">
        <v>147</v>
      </c>
    </row>
    <row r="13" spans="1:11" x14ac:dyDescent="0.2">
      <c r="A13" s="97">
        <v>11</v>
      </c>
      <c r="B13" s="101">
        <v>2615</v>
      </c>
      <c r="D13" s="97">
        <f t="shared" si="0"/>
        <v>11</v>
      </c>
      <c r="E13" s="97">
        <f t="shared" si="1"/>
        <v>17</v>
      </c>
      <c r="F13" s="97">
        <f t="shared" si="2"/>
        <v>15499</v>
      </c>
      <c r="G13" s="97">
        <f t="shared" si="3"/>
        <v>10499</v>
      </c>
      <c r="I13" s="102" t="s">
        <v>152</v>
      </c>
      <c r="J13" s="105">
        <f>J12/J8</f>
        <v>0.91865483425414374</v>
      </c>
    </row>
    <row r="14" spans="1:11" x14ac:dyDescent="0.2">
      <c r="A14" s="97">
        <v>12</v>
      </c>
      <c r="B14" s="101">
        <v>1388</v>
      </c>
      <c r="D14" s="97">
        <f t="shared" si="0"/>
        <v>12</v>
      </c>
      <c r="E14" s="97">
        <f t="shared" si="1"/>
        <v>18</v>
      </c>
      <c r="F14" s="97">
        <f t="shared" si="2"/>
        <v>14244</v>
      </c>
      <c r="G14" s="97">
        <f t="shared" si="3"/>
        <v>9244</v>
      </c>
    </row>
    <row r="15" spans="1:11" x14ac:dyDescent="0.2">
      <c r="A15" s="97">
        <v>13</v>
      </c>
      <c r="B15" s="101">
        <v>2468</v>
      </c>
      <c r="D15" s="97">
        <f t="shared" si="0"/>
        <v>13</v>
      </c>
      <c r="E15" s="97">
        <f t="shared" si="1"/>
        <v>19</v>
      </c>
      <c r="F15" s="97">
        <f t="shared" si="2"/>
        <v>15050</v>
      </c>
      <c r="G15" s="97">
        <f t="shared" si="3"/>
        <v>10050</v>
      </c>
    </row>
    <row r="16" spans="1:11" x14ac:dyDescent="0.2">
      <c r="A16" s="97">
        <v>14</v>
      </c>
      <c r="B16" s="101">
        <v>739</v>
      </c>
      <c r="D16" s="97">
        <f t="shared" si="0"/>
        <v>14</v>
      </c>
      <c r="E16" s="97">
        <f t="shared" si="1"/>
        <v>20</v>
      </c>
      <c r="F16" s="97">
        <f t="shared" si="2"/>
        <v>15057</v>
      </c>
      <c r="G16" s="97">
        <f t="shared" si="3"/>
        <v>10057</v>
      </c>
    </row>
    <row r="17" spans="1:7" x14ac:dyDescent="0.2">
      <c r="A17" s="97">
        <v>15</v>
      </c>
      <c r="B17" s="101">
        <v>2485</v>
      </c>
      <c r="D17" s="97">
        <f t="shared" si="0"/>
        <v>15</v>
      </c>
      <c r="E17" s="97">
        <f t="shared" si="1"/>
        <v>21</v>
      </c>
      <c r="F17" s="97">
        <f t="shared" si="2"/>
        <v>17121</v>
      </c>
      <c r="G17" s="97">
        <f t="shared" si="3"/>
        <v>12121</v>
      </c>
    </row>
    <row r="18" spans="1:7" x14ac:dyDescent="0.2">
      <c r="A18" s="97">
        <v>16</v>
      </c>
      <c r="B18" s="101">
        <v>2086</v>
      </c>
      <c r="D18" s="97">
        <f t="shared" si="0"/>
        <v>16</v>
      </c>
      <c r="E18" s="97">
        <f t="shared" si="1"/>
        <v>22</v>
      </c>
      <c r="F18" s="97">
        <f t="shared" si="2"/>
        <v>17255</v>
      </c>
      <c r="G18" s="97">
        <f t="shared" si="3"/>
        <v>12255</v>
      </c>
    </row>
    <row r="19" spans="1:7" x14ac:dyDescent="0.2">
      <c r="A19" s="97">
        <v>17</v>
      </c>
      <c r="B19" s="101">
        <v>3718</v>
      </c>
      <c r="D19" s="97">
        <f t="shared" si="0"/>
        <v>17</v>
      </c>
      <c r="E19" s="97">
        <f t="shared" si="1"/>
        <v>23</v>
      </c>
      <c r="F19" s="97">
        <f t="shared" si="2"/>
        <v>17255</v>
      </c>
      <c r="G19" s="97">
        <f t="shared" si="3"/>
        <v>12255</v>
      </c>
    </row>
    <row r="20" spans="1:7" x14ac:dyDescent="0.2">
      <c r="A20" s="97">
        <v>18</v>
      </c>
      <c r="B20" s="101">
        <v>1360</v>
      </c>
      <c r="D20" s="97">
        <f t="shared" si="0"/>
        <v>18</v>
      </c>
      <c r="E20" s="97">
        <f t="shared" si="1"/>
        <v>24</v>
      </c>
      <c r="F20" s="97">
        <f t="shared" si="2"/>
        <v>14915</v>
      </c>
      <c r="G20" s="97">
        <f t="shared" si="3"/>
        <v>9915</v>
      </c>
    </row>
    <row r="21" spans="1:7" x14ac:dyDescent="0.2">
      <c r="A21" s="97">
        <v>19</v>
      </c>
      <c r="B21" s="101">
        <v>2194</v>
      </c>
      <c r="D21" s="97">
        <f t="shared" si="0"/>
        <v>19</v>
      </c>
      <c r="E21" s="97">
        <f t="shared" si="1"/>
        <v>25</v>
      </c>
      <c r="F21" s="97">
        <f t="shared" si="2"/>
        <v>15984</v>
      </c>
      <c r="G21" s="97">
        <f t="shared" si="3"/>
        <v>10984</v>
      </c>
    </row>
    <row r="22" spans="1:7" x14ac:dyDescent="0.2">
      <c r="A22" s="97">
        <v>20</v>
      </c>
      <c r="B22" s="101">
        <v>2475</v>
      </c>
      <c r="D22" s="97">
        <f t="shared" si="0"/>
        <v>20</v>
      </c>
      <c r="E22" s="97">
        <f t="shared" si="1"/>
        <v>26</v>
      </c>
      <c r="F22" s="97">
        <f t="shared" si="2"/>
        <v>15039</v>
      </c>
      <c r="G22" s="97">
        <f t="shared" si="3"/>
        <v>10039</v>
      </c>
    </row>
    <row r="23" spans="1:7" x14ac:dyDescent="0.2">
      <c r="A23" s="97">
        <v>21</v>
      </c>
      <c r="B23" s="101">
        <v>2803</v>
      </c>
      <c r="D23" s="97">
        <f t="shared" si="0"/>
        <v>21</v>
      </c>
      <c r="E23" s="97">
        <f t="shared" si="1"/>
        <v>27</v>
      </c>
      <c r="F23" s="97">
        <f t="shared" si="2"/>
        <v>15647</v>
      </c>
      <c r="G23" s="97">
        <f t="shared" si="3"/>
        <v>10647</v>
      </c>
    </row>
    <row r="24" spans="1:7" x14ac:dyDescent="0.2">
      <c r="A24" s="97">
        <v>22</v>
      </c>
      <c r="B24" s="101">
        <v>2619</v>
      </c>
      <c r="D24" s="97">
        <f t="shared" si="0"/>
        <v>22</v>
      </c>
      <c r="E24" s="97">
        <f t="shared" si="1"/>
        <v>28</v>
      </c>
      <c r="F24" s="97">
        <f t="shared" si="2"/>
        <v>14744</v>
      </c>
      <c r="G24" s="97">
        <f t="shared" si="3"/>
        <v>9744</v>
      </c>
    </row>
    <row r="25" spans="1:7" x14ac:dyDescent="0.2">
      <c r="A25" s="97">
        <v>23</v>
      </c>
      <c r="B25" s="101">
        <v>2086</v>
      </c>
      <c r="D25" s="97">
        <f t="shared" si="0"/>
        <v>23</v>
      </c>
      <c r="E25" s="97">
        <f t="shared" si="1"/>
        <v>29</v>
      </c>
      <c r="F25" s="97">
        <f t="shared" si="2"/>
        <v>14180</v>
      </c>
      <c r="G25" s="97">
        <f t="shared" si="3"/>
        <v>9180</v>
      </c>
    </row>
    <row r="26" spans="1:7" x14ac:dyDescent="0.2">
      <c r="A26" s="97">
        <v>24</v>
      </c>
      <c r="B26" s="101">
        <v>1378</v>
      </c>
      <c r="D26" s="97">
        <f t="shared" si="0"/>
        <v>24</v>
      </c>
      <c r="E26" s="97">
        <f t="shared" si="1"/>
        <v>30</v>
      </c>
      <c r="F26" s="97">
        <f t="shared" si="2"/>
        <v>14172</v>
      </c>
      <c r="G26" s="97">
        <f t="shared" si="3"/>
        <v>9172</v>
      </c>
    </row>
    <row r="27" spans="1:7" x14ac:dyDescent="0.2">
      <c r="A27" s="97">
        <v>25</v>
      </c>
      <c r="B27" s="101">
        <v>2429</v>
      </c>
      <c r="D27" s="97">
        <f t="shared" si="0"/>
        <v>25</v>
      </c>
      <c r="E27" s="97">
        <f t="shared" si="1"/>
        <v>31</v>
      </c>
      <c r="F27" s="97">
        <f t="shared" si="2"/>
        <v>15330</v>
      </c>
      <c r="G27" s="97">
        <f t="shared" si="3"/>
        <v>10330</v>
      </c>
    </row>
    <row r="28" spans="1:7" x14ac:dyDescent="0.2">
      <c r="A28" s="97">
        <v>26</v>
      </c>
      <c r="B28" s="101">
        <v>1249</v>
      </c>
      <c r="D28" s="97">
        <f t="shared" si="0"/>
        <v>26</v>
      </c>
      <c r="E28" s="97">
        <f t="shared" si="1"/>
        <v>32</v>
      </c>
      <c r="F28" s="97">
        <f t="shared" si="2"/>
        <v>14432</v>
      </c>
      <c r="G28" s="97">
        <f t="shared" si="3"/>
        <v>9432</v>
      </c>
    </row>
    <row r="29" spans="1:7" x14ac:dyDescent="0.2">
      <c r="A29" s="97">
        <v>27</v>
      </c>
      <c r="B29" s="101">
        <v>3083</v>
      </c>
      <c r="D29" s="97">
        <f t="shared" si="0"/>
        <v>27</v>
      </c>
      <c r="E29" s="97">
        <f t="shared" si="1"/>
        <v>33</v>
      </c>
      <c r="F29" s="97">
        <f t="shared" si="2"/>
        <v>15596</v>
      </c>
      <c r="G29" s="97">
        <f t="shared" si="3"/>
        <v>10596</v>
      </c>
    </row>
    <row r="30" spans="1:7" x14ac:dyDescent="0.2">
      <c r="A30" s="97">
        <v>28</v>
      </c>
      <c r="B30" s="101">
        <v>1900</v>
      </c>
      <c r="D30" s="97">
        <f t="shared" si="0"/>
        <v>28</v>
      </c>
      <c r="E30" s="97">
        <f t="shared" si="1"/>
        <v>34</v>
      </c>
      <c r="F30" s="97">
        <f t="shared" si="2"/>
        <v>15851</v>
      </c>
      <c r="G30" s="97">
        <f t="shared" si="3"/>
        <v>10851</v>
      </c>
    </row>
    <row r="31" spans="1:7" x14ac:dyDescent="0.2">
      <c r="A31" s="97">
        <v>29</v>
      </c>
      <c r="B31" s="101">
        <v>2055</v>
      </c>
      <c r="D31" s="97">
        <f t="shared" si="0"/>
        <v>29</v>
      </c>
      <c r="E31" s="97">
        <f t="shared" si="1"/>
        <v>35</v>
      </c>
      <c r="F31" s="97">
        <f t="shared" si="2"/>
        <v>15716</v>
      </c>
      <c r="G31" s="97">
        <f t="shared" si="3"/>
        <v>10716</v>
      </c>
    </row>
    <row r="32" spans="1:7" x14ac:dyDescent="0.2">
      <c r="A32" s="97">
        <v>30</v>
      </c>
      <c r="B32" s="101">
        <v>2078</v>
      </c>
      <c r="D32" s="97">
        <f t="shared" si="0"/>
        <v>30</v>
      </c>
      <c r="E32" s="97">
        <f t="shared" si="1"/>
        <v>36</v>
      </c>
      <c r="F32" s="97">
        <f t="shared" si="2"/>
        <v>14715</v>
      </c>
      <c r="G32" s="97">
        <f t="shared" si="3"/>
        <v>9715</v>
      </c>
    </row>
    <row r="33" spans="1:7" x14ac:dyDescent="0.2">
      <c r="A33" s="97">
        <v>31</v>
      </c>
      <c r="B33" s="101">
        <v>2536</v>
      </c>
      <c r="D33" s="97">
        <f t="shared" si="0"/>
        <v>31</v>
      </c>
      <c r="E33" s="97">
        <f t="shared" si="1"/>
        <v>37</v>
      </c>
      <c r="F33" s="97">
        <f t="shared" si="2"/>
        <v>15928</v>
      </c>
      <c r="G33" s="97">
        <f t="shared" si="3"/>
        <v>10928</v>
      </c>
    </row>
    <row r="34" spans="1:7" x14ac:dyDescent="0.2">
      <c r="A34" s="97">
        <v>32</v>
      </c>
      <c r="B34" s="101">
        <v>1531</v>
      </c>
      <c r="D34" s="97">
        <f t="shared" si="0"/>
        <v>32</v>
      </c>
      <c r="E34" s="97">
        <f t="shared" si="1"/>
        <v>38</v>
      </c>
      <c r="F34" s="97">
        <f t="shared" si="2"/>
        <v>14707</v>
      </c>
      <c r="G34" s="97">
        <f t="shared" si="3"/>
        <v>9707</v>
      </c>
    </row>
    <row r="35" spans="1:7" x14ac:dyDescent="0.2">
      <c r="A35" s="97">
        <v>33</v>
      </c>
      <c r="B35" s="101">
        <v>2413</v>
      </c>
      <c r="D35" s="97">
        <f t="shared" si="0"/>
        <v>33</v>
      </c>
      <c r="E35" s="97">
        <f t="shared" si="1"/>
        <v>39</v>
      </c>
      <c r="F35" s="97">
        <f t="shared" si="2"/>
        <v>14791</v>
      </c>
      <c r="G35" s="97">
        <f t="shared" si="3"/>
        <v>9791</v>
      </c>
    </row>
    <row r="36" spans="1:7" x14ac:dyDescent="0.2">
      <c r="A36" s="97">
        <v>34</v>
      </c>
      <c r="B36" s="101">
        <v>3338</v>
      </c>
      <c r="D36" s="97">
        <f t="shared" si="0"/>
        <v>34</v>
      </c>
      <c r="E36" s="97">
        <f t="shared" si="1"/>
        <v>40</v>
      </c>
      <c r="F36" s="97">
        <f t="shared" si="2"/>
        <v>14276</v>
      </c>
      <c r="G36" s="97">
        <f t="shared" si="3"/>
        <v>9276</v>
      </c>
    </row>
    <row r="37" spans="1:7" x14ac:dyDescent="0.2">
      <c r="A37" s="97">
        <v>35</v>
      </c>
      <c r="B37" s="101">
        <v>1765</v>
      </c>
      <c r="D37" s="97">
        <f t="shared" si="0"/>
        <v>35</v>
      </c>
      <c r="E37" s="97">
        <f t="shared" si="1"/>
        <v>41</v>
      </c>
      <c r="F37" s="97">
        <f t="shared" si="2"/>
        <v>13479</v>
      </c>
      <c r="G37" s="97">
        <f t="shared" si="3"/>
        <v>8479</v>
      </c>
    </row>
    <row r="38" spans="1:7" x14ac:dyDescent="0.2">
      <c r="A38" s="97">
        <v>36</v>
      </c>
      <c r="B38" s="101">
        <v>1054</v>
      </c>
      <c r="D38" s="97">
        <f t="shared" si="0"/>
        <v>36</v>
      </c>
      <c r="E38" s="97">
        <f t="shared" si="1"/>
        <v>42</v>
      </c>
      <c r="F38" s="97">
        <f t="shared" si="2"/>
        <v>14222</v>
      </c>
      <c r="G38" s="97">
        <f t="shared" si="3"/>
        <v>9222</v>
      </c>
    </row>
    <row r="39" spans="1:7" x14ac:dyDescent="0.2">
      <c r="A39" s="97">
        <v>37</v>
      </c>
      <c r="B39" s="101">
        <v>3291</v>
      </c>
      <c r="D39" s="97">
        <f t="shared" si="0"/>
        <v>37</v>
      </c>
      <c r="E39" s="97">
        <f t="shared" si="1"/>
        <v>43</v>
      </c>
      <c r="F39" s="97">
        <f t="shared" si="2"/>
        <v>15109</v>
      </c>
      <c r="G39" s="97">
        <f t="shared" si="3"/>
        <v>10109</v>
      </c>
    </row>
    <row r="40" spans="1:7" x14ac:dyDescent="0.2">
      <c r="A40" s="97">
        <v>38</v>
      </c>
      <c r="B40" s="101">
        <v>1315</v>
      </c>
      <c r="D40" s="97">
        <f t="shared" si="0"/>
        <v>38</v>
      </c>
      <c r="E40" s="97">
        <f t="shared" si="1"/>
        <v>44</v>
      </c>
      <c r="F40" s="97">
        <f t="shared" si="2"/>
        <v>14889</v>
      </c>
      <c r="G40" s="97">
        <f t="shared" si="3"/>
        <v>9889</v>
      </c>
    </row>
    <row r="41" spans="1:7" x14ac:dyDescent="0.2">
      <c r="A41" s="97">
        <v>39</v>
      </c>
      <c r="B41" s="101">
        <v>1615</v>
      </c>
      <c r="D41" s="97">
        <f t="shared" si="0"/>
        <v>39</v>
      </c>
      <c r="E41" s="97">
        <f t="shared" si="1"/>
        <v>45</v>
      </c>
      <c r="F41" s="97">
        <f t="shared" si="2"/>
        <v>14690</v>
      </c>
      <c r="G41" s="97">
        <f t="shared" si="3"/>
        <v>9690</v>
      </c>
    </row>
    <row r="42" spans="1:7" x14ac:dyDescent="0.2">
      <c r="A42" s="97">
        <v>40</v>
      </c>
      <c r="B42" s="101">
        <v>1898</v>
      </c>
      <c r="D42" s="97">
        <f t="shared" si="0"/>
        <v>40</v>
      </c>
      <c r="E42" s="97">
        <f t="shared" si="1"/>
        <v>46</v>
      </c>
      <c r="F42" s="97">
        <f t="shared" si="2"/>
        <v>16255</v>
      </c>
      <c r="G42" s="97">
        <f t="shared" si="3"/>
        <v>11255</v>
      </c>
    </row>
    <row r="43" spans="1:7" x14ac:dyDescent="0.2">
      <c r="A43" s="97">
        <v>41</v>
      </c>
      <c r="B43" s="101">
        <v>2541</v>
      </c>
      <c r="D43" s="97">
        <f t="shared" si="0"/>
        <v>41</v>
      </c>
      <c r="E43" s="97">
        <f t="shared" si="1"/>
        <v>47</v>
      </c>
      <c r="F43" s="97">
        <f t="shared" si="2"/>
        <v>15977</v>
      </c>
      <c r="G43" s="97">
        <f t="shared" si="3"/>
        <v>10977</v>
      </c>
    </row>
    <row r="44" spans="1:7" x14ac:dyDescent="0.2">
      <c r="A44" s="97">
        <v>42</v>
      </c>
      <c r="B44" s="101">
        <v>2508</v>
      </c>
      <c r="D44" s="97">
        <f t="shared" si="0"/>
        <v>42</v>
      </c>
      <c r="E44" s="97">
        <f t="shared" si="1"/>
        <v>48</v>
      </c>
      <c r="F44" s="97">
        <f t="shared" si="2"/>
        <v>16035</v>
      </c>
      <c r="G44" s="97">
        <f t="shared" si="3"/>
        <v>11035</v>
      </c>
    </row>
    <row r="45" spans="1:7" x14ac:dyDescent="0.2">
      <c r="A45" s="97">
        <v>43</v>
      </c>
      <c r="B45" s="101">
        <v>1941</v>
      </c>
      <c r="D45" s="97">
        <f t="shared" si="0"/>
        <v>43</v>
      </c>
      <c r="E45" s="97">
        <f t="shared" si="1"/>
        <v>49</v>
      </c>
      <c r="F45" s="97">
        <f t="shared" si="2"/>
        <v>14417</v>
      </c>
      <c r="G45" s="97">
        <f t="shared" si="3"/>
        <v>9417</v>
      </c>
    </row>
    <row r="46" spans="1:7" x14ac:dyDescent="0.2">
      <c r="A46" s="97">
        <v>44</v>
      </c>
      <c r="B46" s="101">
        <v>3071</v>
      </c>
      <c r="D46" s="97">
        <f t="shared" si="0"/>
        <v>44</v>
      </c>
      <c r="E46" s="97">
        <f t="shared" si="1"/>
        <v>50</v>
      </c>
      <c r="F46" s="97">
        <f t="shared" si="2"/>
        <v>13427</v>
      </c>
      <c r="G46" s="97">
        <f t="shared" si="3"/>
        <v>8427</v>
      </c>
    </row>
    <row r="47" spans="1:7" x14ac:dyDescent="0.2">
      <c r="A47" s="97">
        <v>45</v>
      </c>
      <c r="B47" s="101">
        <v>1116</v>
      </c>
      <c r="D47" s="97">
        <f t="shared" si="0"/>
        <v>45</v>
      </c>
      <c r="E47" s="97">
        <f t="shared" si="1"/>
        <v>51</v>
      </c>
      <c r="F47" s="97">
        <f t="shared" si="2"/>
        <v>12702</v>
      </c>
      <c r="G47" s="97">
        <f t="shared" si="3"/>
        <v>7702</v>
      </c>
    </row>
    <row r="48" spans="1:7" x14ac:dyDescent="0.2">
      <c r="A48" s="97">
        <v>46</v>
      </c>
      <c r="B48" s="101">
        <v>3180</v>
      </c>
      <c r="D48" s="97">
        <f t="shared" si="0"/>
        <v>46</v>
      </c>
      <c r="E48" s="97">
        <f t="shared" si="1"/>
        <v>52</v>
      </c>
      <c r="F48" s="97">
        <f t="shared" si="2"/>
        <v>12881</v>
      </c>
      <c r="G48" s="97">
        <f t="shared" si="3"/>
        <v>7881</v>
      </c>
    </row>
    <row r="49" spans="1:7" x14ac:dyDescent="0.2">
      <c r="A49" s="97">
        <v>47</v>
      </c>
      <c r="B49" s="101">
        <v>1620</v>
      </c>
      <c r="D49" s="97">
        <f t="shared" si="0"/>
        <v>47</v>
      </c>
      <c r="E49" s="97">
        <f t="shared" si="1"/>
        <v>53</v>
      </c>
      <c r="F49" s="97">
        <f t="shared" si="2"/>
        <v>11431</v>
      </c>
      <c r="G49" s="97">
        <f t="shared" si="3"/>
        <v>6431</v>
      </c>
    </row>
    <row r="50" spans="1:7" x14ac:dyDescent="0.2">
      <c r="A50" s="97">
        <v>48</v>
      </c>
      <c r="B50" s="101">
        <v>2599</v>
      </c>
      <c r="D50" s="97">
        <f t="shared" si="0"/>
        <v>48</v>
      </c>
      <c r="E50" s="97">
        <f t="shared" si="1"/>
        <v>54</v>
      </c>
      <c r="F50" s="97">
        <f t="shared" si="2"/>
        <v>12837</v>
      </c>
      <c r="G50" s="97">
        <f t="shared" si="3"/>
        <v>7837</v>
      </c>
    </row>
    <row r="51" spans="1:7" x14ac:dyDescent="0.2">
      <c r="A51" s="97">
        <v>49</v>
      </c>
      <c r="B51" s="101">
        <v>890</v>
      </c>
      <c r="D51" s="97">
        <f t="shared" si="0"/>
        <v>49</v>
      </c>
      <c r="E51" s="97">
        <f t="shared" si="1"/>
        <v>55</v>
      </c>
      <c r="F51" s="97">
        <f t="shared" si="2"/>
        <v>12499</v>
      </c>
      <c r="G51" s="97">
        <f t="shared" si="3"/>
        <v>7499</v>
      </c>
    </row>
    <row r="52" spans="1:7" x14ac:dyDescent="0.2">
      <c r="A52" s="97">
        <v>50</v>
      </c>
      <c r="B52" s="101">
        <v>951</v>
      </c>
      <c r="D52" s="97">
        <f t="shared" si="0"/>
        <v>50</v>
      </c>
      <c r="E52" s="97">
        <f t="shared" si="1"/>
        <v>56</v>
      </c>
      <c r="F52" s="97">
        <f t="shared" si="2"/>
        <v>13479</v>
      </c>
      <c r="G52" s="97">
        <f t="shared" si="3"/>
        <v>8479</v>
      </c>
    </row>
    <row r="53" spans="1:7" x14ac:dyDescent="0.2">
      <c r="A53" s="97">
        <v>51</v>
      </c>
      <c r="B53" s="101">
        <v>2346</v>
      </c>
      <c r="D53" s="97">
        <f t="shared" si="0"/>
        <v>51</v>
      </c>
      <c r="E53" s="97">
        <f t="shared" si="1"/>
        <v>57</v>
      </c>
      <c r="F53" s="97">
        <f t="shared" si="2"/>
        <v>13348</v>
      </c>
      <c r="G53" s="97">
        <f t="shared" si="3"/>
        <v>8348</v>
      </c>
    </row>
    <row r="54" spans="1:7" x14ac:dyDescent="0.2">
      <c r="A54" s="97">
        <v>52</v>
      </c>
      <c r="B54" s="101">
        <v>1295</v>
      </c>
      <c r="D54" s="97">
        <f t="shared" si="0"/>
        <v>52</v>
      </c>
      <c r="E54" s="97">
        <f t="shared" si="1"/>
        <v>58</v>
      </c>
      <c r="F54" s="97">
        <f t="shared" si="2"/>
        <v>12616</v>
      </c>
      <c r="G54" s="97">
        <f t="shared" si="3"/>
        <v>7616</v>
      </c>
    </row>
    <row r="55" spans="1:7" x14ac:dyDescent="0.2">
      <c r="A55" s="97">
        <v>53</v>
      </c>
      <c r="B55" s="101">
        <v>1730</v>
      </c>
      <c r="D55" s="97">
        <f t="shared" si="0"/>
        <v>53</v>
      </c>
      <c r="E55" s="97">
        <f t="shared" si="1"/>
        <v>59</v>
      </c>
      <c r="F55" s="97">
        <f t="shared" si="2"/>
        <v>13665</v>
      </c>
      <c r="G55" s="97">
        <f t="shared" si="3"/>
        <v>8665</v>
      </c>
    </row>
    <row r="56" spans="1:7" x14ac:dyDescent="0.2">
      <c r="A56" s="97">
        <v>54</v>
      </c>
      <c r="B56" s="101">
        <v>3026</v>
      </c>
      <c r="D56" s="97">
        <f t="shared" si="0"/>
        <v>54</v>
      </c>
      <c r="E56" s="97">
        <f t="shared" si="1"/>
        <v>60</v>
      </c>
      <c r="F56" s="97">
        <f t="shared" si="2"/>
        <v>14303</v>
      </c>
      <c r="G56" s="97">
        <f t="shared" si="3"/>
        <v>9303</v>
      </c>
    </row>
    <row r="57" spans="1:7" x14ac:dyDescent="0.2">
      <c r="A57" s="97">
        <v>55</v>
      </c>
      <c r="B57" s="101">
        <v>2261</v>
      </c>
      <c r="D57" s="97">
        <f t="shared" si="0"/>
        <v>55</v>
      </c>
      <c r="E57" s="97">
        <f t="shared" si="1"/>
        <v>61</v>
      </c>
      <c r="F57" s="97">
        <f t="shared" si="2"/>
        <v>13062</v>
      </c>
      <c r="G57" s="97">
        <f t="shared" si="3"/>
        <v>8062</v>
      </c>
    </row>
    <row r="58" spans="1:7" x14ac:dyDescent="0.2">
      <c r="A58" s="97">
        <v>56</v>
      </c>
      <c r="B58" s="101">
        <v>1870</v>
      </c>
      <c r="D58" s="97">
        <f t="shared" si="0"/>
        <v>56</v>
      </c>
      <c r="E58" s="97">
        <f t="shared" si="1"/>
        <v>62</v>
      </c>
      <c r="F58" s="97">
        <f t="shared" si="2"/>
        <v>13079</v>
      </c>
      <c r="G58" s="97">
        <f t="shared" si="3"/>
        <v>8079</v>
      </c>
    </row>
    <row r="59" spans="1:7" x14ac:dyDescent="0.2">
      <c r="A59" s="97">
        <v>57</v>
      </c>
      <c r="B59" s="101">
        <v>820</v>
      </c>
      <c r="D59" s="97">
        <f t="shared" si="0"/>
        <v>57</v>
      </c>
      <c r="E59" s="97">
        <f t="shared" si="1"/>
        <v>63</v>
      </c>
      <c r="F59" s="97">
        <f t="shared" si="2"/>
        <v>14828</v>
      </c>
      <c r="G59" s="97">
        <f t="shared" si="3"/>
        <v>9828</v>
      </c>
    </row>
    <row r="60" spans="1:7" x14ac:dyDescent="0.2">
      <c r="A60" s="97">
        <v>58</v>
      </c>
      <c r="B60" s="101">
        <v>1614</v>
      </c>
      <c r="D60" s="97">
        <f t="shared" si="0"/>
        <v>58</v>
      </c>
      <c r="E60" s="97">
        <f t="shared" si="1"/>
        <v>64</v>
      </c>
      <c r="F60" s="97">
        <f t="shared" si="2"/>
        <v>16214</v>
      </c>
      <c r="G60" s="97">
        <f t="shared" si="3"/>
        <v>11214</v>
      </c>
    </row>
    <row r="61" spans="1:7" x14ac:dyDescent="0.2">
      <c r="A61" s="97">
        <v>59</v>
      </c>
      <c r="B61" s="101">
        <v>2344</v>
      </c>
      <c r="D61" s="97">
        <f t="shared" si="0"/>
        <v>59</v>
      </c>
      <c r="E61" s="97">
        <f t="shared" si="1"/>
        <v>65</v>
      </c>
      <c r="F61" s="97">
        <f t="shared" si="2"/>
        <v>16341</v>
      </c>
      <c r="G61" s="97">
        <f t="shared" si="3"/>
        <v>11341</v>
      </c>
    </row>
    <row r="62" spans="1:7" x14ac:dyDescent="0.2">
      <c r="A62" s="97">
        <v>60</v>
      </c>
      <c r="B62" s="101">
        <v>2368</v>
      </c>
      <c r="D62" s="97">
        <f t="shared" si="0"/>
        <v>60</v>
      </c>
      <c r="E62" s="97">
        <f t="shared" si="1"/>
        <v>66</v>
      </c>
      <c r="F62" s="97">
        <f t="shared" si="2"/>
        <v>15710</v>
      </c>
      <c r="G62" s="97">
        <f t="shared" si="3"/>
        <v>10710</v>
      </c>
    </row>
    <row r="63" spans="1:7" x14ac:dyDescent="0.2">
      <c r="A63" s="97">
        <v>61</v>
      </c>
      <c r="B63" s="101">
        <v>1785</v>
      </c>
      <c r="D63" s="97">
        <f t="shared" si="0"/>
        <v>61</v>
      </c>
      <c r="E63" s="97">
        <f t="shared" si="1"/>
        <v>67</v>
      </c>
      <c r="F63" s="97">
        <f t="shared" si="2"/>
        <v>15191</v>
      </c>
      <c r="G63" s="97">
        <f t="shared" si="3"/>
        <v>10191</v>
      </c>
    </row>
    <row r="64" spans="1:7" x14ac:dyDescent="0.2">
      <c r="A64" s="97">
        <v>62</v>
      </c>
      <c r="B64" s="101">
        <v>2278</v>
      </c>
      <c r="D64" s="97">
        <f t="shared" si="0"/>
        <v>62</v>
      </c>
      <c r="E64" s="97">
        <f t="shared" si="1"/>
        <v>68</v>
      </c>
      <c r="F64" s="97">
        <f t="shared" si="2"/>
        <v>15165</v>
      </c>
      <c r="G64" s="97">
        <f t="shared" si="3"/>
        <v>10165</v>
      </c>
    </row>
    <row r="65" spans="1:7" x14ac:dyDescent="0.2">
      <c r="A65" s="97">
        <v>63</v>
      </c>
      <c r="B65" s="101">
        <v>3619</v>
      </c>
      <c r="D65" s="97">
        <f t="shared" si="0"/>
        <v>63</v>
      </c>
      <c r="E65" s="97">
        <f t="shared" si="1"/>
        <v>69</v>
      </c>
      <c r="F65" s="97">
        <f t="shared" si="2"/>
        <v>16181</v>
      </c>
      <c r="G65" s="97">
        <f t="shared" si="3"/>
        <v>11181</v>
      </c>
    </row>
    <row r="66" spans="1:7" x14ac:dyDescent="0.2">
      <c r="A66" s="97">
        <v>64</v>
      </c>
      <c r="B66" s="101">
        <v>2206</v>
      </c>
      <c r="D66" s="97">
        <f t="shared" si="0"/>
        <v>64</v>
      </c>
      <c r="E66" s="97">
        <f t="shared" si="1"/>
        <v>70</v>
      </c>
      <c r="F66" s="97">
        <f t="shared" si="2"/>
        <v>13903</v>
      </c>
      <c r="G66" s="97">
        <f t="shared" si="3"/>
        <v>8903</v>
      </c>
    </row>
    <row r="67" spans="1:7" x14ac:dyDescent="0.2">
      <c r="A67" s="97">
        <v>65</v>
      </c>
      <c r="B67" s="101">
        <v>1741</v>
      </c>
      <c r="D67" s="97">
        <f t="shared" si="0"/>
        <v>65</v>
      </c>
      <c r="E67" s="97">
        <f t="shared" si="1"/>
        <v>71</v>
      </c>
      <c r="F67" s="97">
        <f t="shared" si="2"/>
        <v>15025</v>
      </c>
      <c r="G67" s="97">
        <f t="shared" si="3"/>
        <v>10025</v>
      </c>
    </row>
    <row r="68" spans="1:7" x14ac:dyDescent="0.2">
      <c r="A68" s="97">
        <v>66</v>
      </c>
      <c r="B68" s="101">
        <v>1713</v>
      </c>
      <c r="D68" s="97">
        <f t="shared" ref="D68:D131" si="4">A68</f>
        <v>66</v>
      </c>
      <c r="E68" s="97">
        <f t="shared" ref="E68:E131" si="5">A74</f>
        <v>72</v>
      </c>
      <c r="F68" s="97">
        <f t="shared" ref="F68:F131" si="6">SUM(B68:B74)</f>
        <v>14630</v>
      </c>
      <c r="G68" s="97">
        <f t="shared" ref="G68:G131" si="7">MAX(F68-$J$5,0)</f>
        <v>9630</v>
      </c>
    </row>
    <row r="69" spans="1:7" x14ac:dyDescent="0.2">
      <c r="A69" s="97">
        <v>67</v>
      </c>
      <c r="B69" s="101">
        <v>1849</v>
      </c>
      <c r="D69" s="97">
        <f t="shared" si="4"/>
        <v>67</v>
      </c>
      <c r="E69" s="97">
        <f t="shared" si="5"/>
        <v>73</v>
      </c>
      <c r="F69" s="97">
        <f t="shared" si="6"/>
        <v>14598</v>
      </c>
      <c r="G69" s="97">
        <f t="shared" si="7"/>
        <v>9598</v>
      </c>
    </row>
    <row r="70" spans="1:7" x14ac:dyDescent="0.2">
      <c r="A70" s="97">
        <v>68</v>
      </c>
      <c r="B70" s="101">
        <v>1759</v>
      </c>
      <c r="D70" s="97">
        <f t="shared" si="4"/>
        <v>68</v>
      </c>
      <c r="E70" s="97">
        <f t="shared" si="5"/>
        <v>74</v>
      </c>
      <c r="F70" s="97">
        <f t="shared" si="6"/>
        <v>13718</v>
      </c>
      <c r="G70" s="97">
        <f t="shared" si="7"/>
        <v>8718</v>
      </c>
    </row>
    <row r="71" spans="1:7" x14ac:dyDescent="0.2">
      <c r="A71" s="97">
        <v>69</v>
      </c>
      <c r="B71" s="101">
        <v>3294</v>
      </c>
      <c r="D71" s="97">
        <f t="shared" si="4"/>
        <v>69</v>
      </c>
      <c r="E71" s="97">
        <f t="shared" si="5"/>
        <v>75</v>
      </c>
      <c r="F71" s="97">
        <f t="shared" si="6"/>
        <v>12112</v>
      </c>
      <c r="G71" s="97">
        <f t="shared" si="7"/>
        <v>7112</v>
      </c>
    </row>
    <row r="72" spans="1:7" x14ac:dyDescent="0.2">
      <c r="A72" s="97">
        <v>70</v>
      </c>
      <c r="B72" s="101">
        <v>1341</v>
      </c>
      <c r="D72" s="97">
        <f t="shared" si="4"/>
        <v>70</v>
      </c>
      <c r="E72" s="97">
        <f t="shared" si="5"/>
        <v>76</v>
      </c>
      <c r="F72" s="97">
        <f t="shared" si="6"/>
        <v>10583</v>
      </c>
      <c r="G72" s="97">
        <f t="shared" si="7"/>
        <v>5583</v>
      </c>
    </row>
    <row r="73" spans="1:7" x14ac:dyDescent="0.2">
      <c r="A73" s="97">
        <v>71</v>
      </c>
      <c r="B73" s="101">
        <v>3328</v>
      </c>
      <c r="D73" s="97">
        <f t="shared" si="4"/>
        <v>71</v>
      </c>
      <c r="E73" s="97">
        <f t="shared" si="5"/>
        <v>77</v>
      </c>
      <c r="F73" s="97">
        <f t="shared" si="6"/>
        <v>11651</v>
      </c>
      <c r="G73" s="97">
        <f t="shared" si="7"/>
        <v>6651</v>
      </c>
    </row>
    <row r="74" spans="1:7" x14ac:dyDescent="0.2">
      <c r="A74" s="97">
        <v>72</v>
      </c>
      <c r="B74" s="101">
        <v>1346</v>
      </c>
      <c r="D74" s="97">
        <f t="shared" si="4"/>
        <v>72</v>
      </c>
      <c r="E74" s="97">
        <f t="shared" si="5"/>
        <v>78</v>
      </c>
      <c r="F74" s="97">
        <f t="shared" si="6"/>
        <v>10202</v>
      </c>
      <c r="G74" s="97">
        <f t="shared" si="7"/>
        <v>5202</v>
      </c>
    </row>
    <row r="75" spans="1:7" x14ac:dyDescent="0.2">
      <c r="A75" s="97">
        <v>73</v>
      </c>
      <c r="B75" s="101">
        <v>1681</v>
      </c>
      <c r="D75" s="97">
        <f t="shared" si="4"/>
        <v>73</v>
      </c>
      <c r="E75" s="97">
        <f t="shared" si="5"/>
        <v>79</v>
      </c>
      <c r="F75" s="97">
        <f t="shared" si="6"/>
        <v>10907</v>
      </c>
      <c r="G75" s="97">
        <f t="shared" si="7"/>
        <v>5907</v>
      </c>
    </row>
    <row r="76" spans="1:7" x14ac:dyDescent="0.2">
      <c r="A76" s="97">
        <v>74</v>
      </c>
      <c r="B76" s="101">
        <v>969</v>
      </c>
      <c r="D76" s="97">
        <f t="shared" si="4"/>
        <v>74</v>
      </c>
      <c r="E76" s="97">
        <f t="shared" si="5"/>
        <v>80</v>
      </c>
      <c r="F76" s="97">
        <f t="shared" si="6"/>
        <v>10176</v>
      </c>
      <c r="G76" s="97">
        <f t="shared" si="7"/>
        <v>5176</v>
      </c>
    </row>
    <row r="77" spans="1:7" x14ac:dyDescent="0.2">
      <c r="A77" s="97">
        <v>75</v>
      </c>
      <c r="B77" s="101">
        <v>153</v>
      </c>
      <c r="D77" s="97">
        <f t="shared" si="4"/>
        <v>75</v>
      </c>
      <c r="E77" s="97">
        <f t="shared" si="5"/>
        <v>81</v>
      </c>
      <c r="F77" s="97">
        <f t="shared" si="6"/>
        <v>11483</v>
      </c>
      <c r="G77" s="97">
        <f t="shared" si="7"/>
        <v>6483</v>
      </c>
    </row>
    <row r="78" spans="1:7" x14ac:dyDescent="0.2">
      <c r="A78" s="97">
        <v>76</v>
      </c>
      <c r="B78" s="101">
        <v>1765</v>
      </c>
      <c r="D78" s="97">
        <f t="shared" si="4"/>
        <v>76</v>
      </c>
      <c r="E78" s="97">
        <f t="shared" si="5"/>
        <v>82</v>
      </c>
      <c r="F78" s="97">
        <f t="shared" si="6"/>
        <v>13516</v>
      </c>
      <c r="G78" s="97">
        <f t="shared" si="7"/>
        <v>8516</v>
      </c>
    </row>
    <row r="79" spans="1:7" x14ac:dyDescent="0.2">
      <c r="A79" s="97">
        <v>77</v>
      </c>
      <c r="B79" s="101">
        <v>2409</v>
      </c>
      <c r="D79" s="97">
        <f t="shared" si="4"/>
        <v>77</v>
      </c>
      <c r="E79" s="97">
        <f t="shared" si="5"/>
        <v>83</v>
      </c>
      <c r="F79" s="97">
        <f t="shared" si="6"/>
        <v>12602</v>
      </c>
      <c r="G79" s="97">
        <f t="shared" si="7"/>
        <v>7602</v>
      </c>
    </row>
    <row r="80" spans="1:7" x14ac:dyDescent="0.2">
      <c r="A80" s="97">
        <v>78</v>
      </c>
      <c r="B80" s="101">
        <v>1879</v>
      </c>
      <c r="D80" s="97">
        <f t="shared" si="4"/>
        <v>78</v>
      </c>
      <c r="E80" s="97">
        <f t="shared" si="5"/>
        <v>84</v>
      </c>
      <c r="F80" s="97">
        <f t="shared" si="6"/>
        <v>13151</v>
      </c>
      <c r="G80" s="97">
        <f t="shared" si="7"/>
        <v>8151</v>
      </c>
    </row>
    <row r="81" spans="1:7" x14ac:dyDescent="0.2">
      <c r="A81" s="97">
        <v>79</v>
      </c>
      <c r="B81" s="101">
        <v>2051</v>
      </c>
      <c r="D81" s="97">
        <f t="shared" si="4"/>
        <v>79</v>
      </c>
      <c r="E81" s="97">
        <f t="shared" si="5"/>
        <v>85</v>
      </c>
      <c r="F81" s="97">
        <f t="shared" si="6"/>
        <v>13508</v>
      </c>
      <c r="G81" s="97">
        <f t="shared" si="7"/>
        <v>8508</v>
      </c>
    </row>
    <row r="82" spans="1:7" x14ac:dyDescent="0.2">
      <c r="A82" s="97">
        <v>80</v>
      </c>
      <c r="B82" s="101">
        <v>950</v>
      </c>
      <c r="D82" s="97">
        <f t="shared" si="4"/>
        <v>80</v>
      </c>
      <c r="E82" s="97">
        <f t="shared" si="5"/>
        <v>86</v>
      </c>
      <c r="F82" s="97">
        <f t="shared" si="6"/>
        <v>14027</v>
      </c>
      <c r="G82" s="97">
        <f t="shared" si="7"/>
        <v>9027</v>
      </c>
    </row>
    <row r="83" spans="1:7" x14ac:dyDescent="0.2">
      <c r="A83" s="97">
        <v>81</v>
      </c>
      <c r="B83" s="101">
        <v>2276</v>
      </c>
      <c r="D83" s="97">
        <f t="shared" si="4"/>
        <v>81</v>
      </c>
      <c r="E83" s="97">
        <f t="shared" si="5"/>
        <v>87</v>
      </c>
      <c r="F83" s="97">
        <f t="shared" si="6"/>
        <v>15525</v>
      </c>
      <c r="G83" s="97">
        <f t="shared" si="7"/>
        <v>10525</v>
      </c>
    </row>
    <row r="84" spans="1:7" x14ac:dyDescent="0.2">
      <c r="A84" s="97">
        <v>82</v>
      </c>
      <c r="B84" s="101">
        <v>2186</v>
      </c>
      <c r="D84" s="97">
        <f t="shared" si="4"/>
        <v>82</v>
      </c>
      <c r="E84" s="97">
        <f t="shared" si="5"/>
        <v>88</v>
      </c>
      <c r="F84" s="97">
        <f t="shared" si="6"/>
        <v>15918</v>
      </c>
      <c r="G84" s="97">
        <f t="shared" si="7"/>
        <v>10918</v>
      </c>
    </row>
    <row r="85" spans="1:7" x14ac:dyDescent="0.2">
      <c r="A85" s="97">
        <v>83</v>
      </c>
      <c r="B85" s="101">
        <v>851</v>
      </c>
      <c r="D85" s="97">
        <f t="shared" si="4"/>
        <v>83</v>
      </c>
      <c r="E85" s="97">
        <f t="shared" si="5"/>
        <v>89</v>
      </c>
      <c r="F85" s="97">
        <f t="shared" si="6"/>
        <v>15970</v>
      </c>
      <c r="G85" s="97">
        <f t="shared" si="7"/>
        <v>10970</v>
      </c>
    </row>
    <row r="86" spans="1:7" x14ac:dyDescent="0.2">
      <c r="A86" s="97">
        <v>84</v>
      </c>
      <c r="B86" s="101">
        <v>2958</v>
      </c>
      <c r="D86" s="97">
        <f t="shared" si="4"/>
        <v>84</v>
      </c>
      <c r="E86" s="97">
        <f t="shared" si="5"/>
        <v>90</v>
      </c>
      <c r="F86" s="97">
        <f t="shared" si="6"/>
        <v>16393</v>
      </c>
      <c r="G86" s="97">
        <f t="shared" si="7"/>
        <v>11393</v>
      </c>
    </row>
    <row r="87" spans="1:7" x14ac:dyDescent="0.2">
      <c r="A87" s="97">
        <v>85</v>
      </c>
      <c r="B87" s="101">
        <v>2236</v>
      </c>
      <c r="D87" s="97">
        <f t="shared" si="4"/>
        <v>85</v>
      </c>
      <c r="E87" s="97">
        <f t="shared" si="5"/>
        <v>91</v>
      </c>
      <c r="F87" s="97">
        <f t="shared" si="6"/>
        <v>15378</v>
      </c>
      <c r="G87" s="97">
        <f t="shared" si="7"/>
        <v>10378</v>
      </c>
    </row>
    <row r="88" spans="1:7" x14ac:dyDescent="0.2">
      <c r="A88" s="97">
        <v>86</v>
      </c>
      <c r="B88" s="101">
        <v>2570</v>
      </c>
      <c r="D88" s="97">
        <f t="shared" si="4"/>
        <v>86</v>
      </c>
      <c r="E88" s="97">
        <f t="shared" si="5"/>
        <v>92</v>
      </c>
      <c r="F88" s="97">
        <f t="shared" si="6"/>
        <v>13711</v>
      </c>
      <c r="G88" s="97">
        <f t="shared" si="7"/>
        <v>8711</v>
      </c>
    </row>
    <row r="89" spans="1:7" x14ac:dyDescent="0.2">
      <c r="A89" s="97">
        <v>87</v>
      </c>
      <c r="B89" s="101">
        <v>2448</v>
      </c>
      <c r="D89" s="97">
        <f t="shared" si="4"/>
        <v>87</v>
      </c>
      <c r="E89" s="97">
        <f t="shared" si="5"/>
        <v>93</v>
      </c>
      <c r="F89" s="97">
        <f t="shared" si="6"/>
        <v>11141</v>
      </c>
      <c r="G89" s="97">
        <f t="shared" si="7"/>
        <v>6141</v>
      </c>
    </row>
    <row r="90" spans="1:7" x14ac:dyDescent="0.2">
      <c r="A90" s="97">
        <v>88</v>
      </c>
      <c r="B90" s="101">
        <v>2669</v>
      </c>
      <c r="D90" s="97">
        <f t="shared" si="4"/>
        <v>88</v>
      </c>
      <c r="E90" s="97">
        <f t="shared" si="5"/>
        <v>94</v>
      </c>
      <c r="F90" s="97">
        <f t="shared" si="6"/>
        <v>10472</v>
      </c>
      <c r="G90" s="97">
        <f t="shared" si="7"/>
        <v>5472</v>
      </c>
    </row>
    <row r="91" spans="1:7" x14ac:dyDescent="0.2">
      <c r="A91" s="97">
        <v>89</v>
      </c>
      <c r="B91" s="101">
        <v>2238</v>
      </c>
      <c r="D91" s="97">
        <f t="shared" si="4"/>
        <v>89</v>
      </c>
      <c r="E91" s="97">
        <f t="shared" si="5"/>
        <v>95</v>
      </c>
      <c r="F91" s="97">
        <f t="shared" si="6"/>
        <v>9584</v>
      </c>
      <c r="G91" s="97">
        <f t="shared" si="7"/>
        <v>4584</v>
      </c>
    </row>
    <row r="92" spans="1:7" x14ac:dyDescent="0.2">
      <c r="A92" s="97">
        <v>90</v>
      </c>
      <c r="B92" s="101">
        <v>1274</v>
      </c>
      <c r="D92" s="97">
        <f t="shared" si="4"/>
        <v>90</v>
      </c>
      <c r="E92" s="97">
        <f t="shared" si="5"/>
        <v>96</v>
      </c>
      <c r="F92" s="97">
        <f t="shared" si="6"/>
        <v>10151</v>
      </c>
      <c r="G92" s="97">
        <f t="shared" si="7"/>
        <v>5151</v>
      </c>
    </row>
    <row r="93" spans="1:7" x14ac:dyDescent="0.2">
      <c r="A93" s="97">
        <v>91</v>
      </c>
      <c r="B93" s="101">
        <v>1943</v>
      </c>
      <c r="D93" s="97">
        <f t="shared" si="4"/>
        <v>91</v>
      </c>
      <c r="E93" s="97">
        <f t="shared" si="5"/>
        <v>97</v>
      </c>
      <c r="F93" s="97">
        <f t="shared" si="6"/>
        <v>11407</v>
      </c>
      <c r="G93" s="97">
        <f t="shared" si="7"/>
        <v>6407</v>
      </c>
    </row>
    <row r="94" spans="1:7" x14ac:dyDescent="0.2">
      <c r="A94" s="97">
        <v>92</v>
      </c>
      <c r="B94" s="101">
        <v>569</v>
      </c>
      <c r="D94" s="97">
        <f t="shared" si="4"/>
        <v>92</v>
      </c>
      <c r="E94" s="97">
        <f t="shared" si="5"/>
        <v>98</v>
      </c>
      <c r="F94" s="97">
        <f t="shared" si="6"/>
        <v>10944</v>
      </c>
      <c r="G94" s="97">
        <f t="shared" si="7"/>
        <v>5944</v>
      </c>
    </row>
    <row r="95" spans="1:7" x14ac:dyDescent="0.2">
      <c r="A95" s="97">
        <v>93</v>
      </c>
      <c r="B95" s="101">
        <v>0</v>
      </c>
      <c r="D95" s="97">
        <f t="shared" si="4"/>
        <v>93</v>
      </c>
      <c r="E95" s="97">
        <f t="shared" si="5"/>
        <v>99</v>
      </c>
      <c r="F95" s="97">
        <f t="shared" si="6"/>
        <v>12214</v>
      </c>
      <c r="G95" s="97">
        <f t="shared" si="7"/>
        <v>7214</v>
      </c>
    </row>
    <row r="96" spans="1:7" x14ac:dyDescent="0.2">
      <c r="A96" s="97">
        <v>94</v>
      </c>
      <c r="B96" s="101">
        <v>1779</v>
      </c>
      <c r="D96" s="97">
        <f t="shared" si="4"/>
        <v>94</v>
      </c>
      <c r="E96" s="97">
        <f t="shared" si="5"/>
        <v>100</v>
      </c>
      <c r="F96" s="97">
        <f t="shared" si="6"/>
        <v>13724</v>
      </c>
      <c r="G96" s="97">
        <f t="shared" si="7"/>
        <v>8724</v>
      </c>
    </row>
    <row r="97" spans="1:7" x14ac:dyDescent="0.2">
      <c r="A97" s="97">
        <v>95</v>
      </c>
      <c r="B97" s="101">
        <v>1781</v>
      </c>
      <c r="D97" s="97">
        <f t="shared" si="4"/>
        <v>95</v>
      </c>
      <c r="E97" s="97">
        <f t="shared" si="5"/>
        <v>101</v>
      </c>
      <c r="F97" s="97">
        <f t="shared" si="6"/>
        <v>14294</v>
      </c>
      <c r="G97" s="97">
        <f t="shared" si="7"/>
        <v>9294</v>
      </c>
    </row>
    <row r="98" spans="1:7" x14ac:dyDescent="0.2">
      <c r="A98" s="97">
        <v>96</v>
      </c>
      <c r="B98" s="101">
        <v>2805</v>
      </c>
      <c r="D98" s="97">
        <f t="shared" si="4"/>
        <v>96</v>
      </c>
      <c r="E98" s="97">
        <f t="shared" si="5"/>
        <v>102</v>
      </c>
      <c r="F98" s="97">
        <f t="shared" si="6"/>
        <v>15087</v>
      </c>
      <c r="G98" s="97">
        <f t="shared" si="7"/>
        <v>10087</v>
      </c>
    </row>
    <row r="99" spans="1:7" x14ac:dyDescent="0.2">
      <c r="A99" s="97">
        <v>97</v>
      </c>
      <c r="B99" s="101">
        <v>2530</v>
      </c>
      <c r="D99" s="97">
        <f t="shared" si="4"/>
        <v>97</v>
      </c>
      <c r="E99" s="97">
        <f t="shared" si="5"/>
        <v>103</v>
      </c>
      <c r="F99" s="97">
        <f t="shared" si="6"/>
        <v>13788</v>
      </c>
      <c r="G99" s="97">
        <f t="shared" si="7"/>
        <v>8788</v>
      </c>
    </row>
    <row r="100" spans="1:7" x14ac:dyDescent="0.2">
      <c r="A100" s="97">
        <v>98</v>
      </c>
      <c r="B100" s="101">
        <v>1480</v>
      </c>
      <c r="D100" s="97">
        <f t="shared" si="4"/>
        <v>98</v>
      </c>
      <c r="E100" s="97">
        <f t="shared" si="5"/>
        <v>104</v>
      </c>
      <c r="F100" s="97">
        <f t="shared" si="6"/>
        <v>14342</v>
      </c>
      <c r="G100" s="97">
        <f t="shared" si="7"/>
        <v>9342</v>
      </c>
    </row>
    <row r="101" spans="1:7" x14ac:dyDescent="0.2">
      <c r="A101" s="97">
        <v>99</v>
      </c>
      <c r="B101" s="101">
        <v>1839</v>
      </c>
      <c r="D101" s="97">
        <f t="shared" si="4"/>
        <v>99</v>
      </c>
      <c r="E101" s="97">
        <f t="shared" si="5"/>
        <v>105</v>
      </c>
      <c r="F101" s="97">
        <f t="shared" si="6"/>
        <v>13508</v>
      </c>
      <c r="G101" s="97">
        <f t="shared" si="7"/>
        <v>8508</v>
      </c>
    </row>
    <row r="102" spans="1:7" x14ac:dyDescent="0.2">
      <c r="A102" s="97">
        <v>100</v>
      </c>
      <c r="B102" s="101">
        <v>1510</v>
      </c>
      <c r="D102" s="97">
        <f t="shared" si="4"/>
        <v>100</v>
      </c>
      <c r="E102" s="97">
        <f t="shared" si="5"/>
        <v>106</v>
      </c>
      <c r="F102" s="97">
        <f t="shared" si="6"/>
        <v>13567</v>
      </c>
      <c r="G102" s="97">
        <f t="shared" si="7"/>
        <v>8567</v>
      </c>
    </row>
    <row r="103" spans="1:7" x14ac:dyDescent="0.2">
      <c r="A103" s="97">
        <v>101</v>
      </c>
      <c r="B103" s="101">
        <v>2349</v>
      </c>
      <c r="D103" s="97">
        <f t="shared" si="4"/>
        <v>101</v>
      </c>
      <c r="E103" s="97">
        <f t="shared" si="5"/>
        <v>107</v>
      </c>
      <c r="F103" s="97">
        <f t="shared" si="6"/>
        <v>14273</v>
      </c>
      <c r="G103" s="97">
        <f t="shared" si="7"/>
        <v>9273</v>
      </c>
    </row>
    <row r="104" spans="1:7" x14ac:dyDescent="0.2">
      <c r="A104" s="97">
        <v>102</v>
      </c>
      <c r="B104" s="101">
        <v>2574</v>
      </c>
      <c r="D104" s="97">
        <f t="shared" si="4"/>
        <v>102</v>
      </c>
      <c r="E104" s="97">
        <f t="shared" si="5"/>
        <v>108</v>
      </c>
      <c r="F104" s="97">
        <f t="shared" si="6"/>
        <v>13587</v>
      </c>
      <c r="G104" s="97">
        <f t="shared" si="7"/>
        <v>8587</v>
      </c>
    </row>
    <row r="105" spans="1:7" x14ac:dyDescent="0.2">
      <c r="A105" s="97">
        <v>103</v>
      </c>
      <c r="B105" s="101">
        <v>1506</v>
      </c>
      <c r="D105" s="97">
        <f t="shared" si="4"/>
        <v>103</v>
      </c>
      <c r="E105" s="97">
        <f t="shared" si="5"/>
        <v>109</v>
      </c>
      <c r="F105" s="97">
        <f t="shared" si="6"/>
        <v>12177</v>
      </c>
      <c r="G105" s="97">
        <f t="shared" si="7"/>
        <v>7177</v>
      </c>
    </row>
    <row r="106" spans="1:7" x14ac:dyDescent="0.2">
      <c r="A106" s="97">
        <v>104</v>
      </c>
      <c r="B106" s="101">
        <v>3084</v>
      </c>
      <c r="D106" s="97">
        <f t="shared" si="4"/>
        <v>104</v>
      </c>
      <c r="E106" s="97">
        <f t="shared" si="5"/>
        <v>110</v>
      </c>
      <c r="F106" s="97">
        <f t="shared" si="6"/>
        <v>12866</v>
      </c>
      <c r="G106" s="97">
        <f t="shared" si="7"/>
        <v>7866</v>
      </c>
    </row>
    <row r="107" spans="1:7" x14ac:dyDescent="0.2">
      <c r="A107" s="97">
        <v>105</v>
      </c>
      <c r="B107" s="101">
        <v>646</v>
      </c>
      <c r="D107" s="97">
        <f t="shared" si="4"/>
        <v>105</v>
      </c>
      <c r="E107" s="97">
        <f t="shared" si="5"/>
        <v>111</v>
      </c>
      <c r="F107" s="97">
        <f t="shared" si="6"/>
        <v>11483</v>
      </c>
      <c r="G107" s="97">
        <f t="shared" si="7"/>
        <v>6483</v>
      </c>
    </row>
    <row r="108" spans="1:7" x14ac:dyDescent="0.2">
      <c r="A108" s="97">
        <v>106</v>
      </c>
      <c r="B108" s="101">
        <v>1898</v>
      </c>
      <c r="D108" s="97">
        <f t="shared" si="4"/>
        <v>106</v>
      </c>
      <c r="E108" s="97">
        <f t="shared" si="5"/>
        <v>112</v>
      </c>
      <c r="F108" s="97">
        <f t="shared" si="6"/>
        <v>12341</v>
      </c>
      <c r="G108" s="97">
        <f t="shared" si="7"/>
        <v>7341</v>
      </c>
    </row>
    <row r="109" spans="1:7" x14ac:dyDescent="0.2">
      <c r="A109" s="97">
        <v>107</v>
      </c>
      <c r="B109" s="101">
        <v>2216</v>
      </c>
      <c r="D109" s="97">
        <f t="shared" si="4"/>
        <v>107</v>
      </c>
      <c r="E109" s="97">
        <f t="shared" si="5"/>
        <v>113</v>
      </c>
      <c r="F109" s="97">
        <f t="shared" si="6"/>
        <v>13424</v>
      </c>
      <c r="G109" s="97">
        <f t="shared" si="7"/>
        <v>8424</v>
      </c>
    </row>
    <row r="110" spans="1:7" x14ac:dyDescent="0.2">
      <c r="A110" s="97">
        <v>108</v>
      </c>
      <c r="B110" s="101">
        <v>1663</v>
      </c>
      <c r="D110" s="97">
        <f t="shared" si="4"/>
        <v>108</v>
      </c>
      <c r="E110" s="97">
        <f t="shared" si="5"/>
        <v>114</v>
      </c>
      <c r="F110" s="97">
        <f t="shared" si="6"/>
        <v>14713</v>
      </c>
      <c r="G110" s="97">
        <f t="shared" si="7"/>
        <v>9713</v>
      </c>
    </row>
    <row r="111" spans="1:7" x14ac:dyDescent="0.2">
      <c r="A111" s="97">
        <v>109</v>
      </c>
      <c r="B111" s="101">
        <v>1164</v>
      </c>
      <c r="D111" s="97">
        <f t="shared" si="4"/>
        <v>109</v>
      </c>
      <c r="E111" s="97">
        <f t="shared" si="5"/>
        <v>115</v>
      </c>
      <c r="F111" s="97">
        <f t="shared" si="6"/>
        <v>16515</v>
      </c>
      <c r="G111" s="97">
        <f t="shared" si="7"/>
        <v>11515</v>
      </c>
    </row>
    <row r="112" spans="1:7" x14ac:dyDescent="0.2">
      <c r="A112" s="97">
        <v>110</v>
      </c>
      <c r="B112" s="101">
        <v>2195</v>
      </c>
      <c r="D112" s="97">
        <f t="shared" si="4"/>
        <v>110</v>
      </c>
      <c r="E112" s="97">
        <f t="shared" si="5"/>
        <v>116</v>
      </c>
      <c r="F112" s="97">
        <f t="shared" si="6"/>
        <v>17874</v>
      </c>
      <c r="G112" s="97">
        <f t="shared" si="7"/>
        <v>12874</v>
      </c>
    </row>
    <row r="113" spans="1:7" x14ac:dyDescent="0.2">
      <c r="A113" s="97">
        <v>111</v>
      </c>
      <c r="B113" s="101">
        <v>1701</v>
      </c>
      <c r="D113" s="97">
        <f t="shared" si="4"/>
        <v>111</v>
      </c>
      <c r="E113" s="97">
        <f t="shared" si="5"/>
        <v>117</v>
      </c>
      <c r="F113" s="97">
        <f t="shared" si="6"/>
        <v>16868</v>
      </c>
      <c r="G113" s="97">
        <f t="shared" si="7"/>
        <v>11868</v>
      </c>
    </row>
    <row r="114" spans="1:7" x14ac:dyDescent="0.2">
      <c r="A114" s="97">
        <v>112</v>
      </c>
      <c r="B114" s="101">
        <v>1504</v>
      </c>
      <c r="D114" s="97">
        <f t="shared" si="4"/>
        <v>112</v>
      </c>
      <c r="E114" s="97">
        <f t="shared" si="5"/>
        <v>118</v>
      </c>
      <c r="F114" s="97">
        <f t="shared" si="6"/>
        <v>18806</v>
      </c>
      <c r="G114" s="97">
        <f t="shared" si="7"/>
        <v>13806</v>
      </c>
    </row>
    <row r="115" spans="1:7" x14ac:dyDescent="0.2">
      <c r="A115" s="97">
        <v>113</v>
      </c>
      <c r="B115" s="101">
        <v>2981</v>
      </c>
      <c r="D115" s="97">
        <f t="shared" si="4"/>
        <v>113</v>
      </c>
      <c r="E115" s="97">
        <f t="shared" si="5"/>
        <v>119</v>
      </c>
      <c r="F115" s="97">
        <f t="shared" si="6"/>
        <v>17880</v>
      </c>
      <c r="G115" s="97">
        <f t="shared" si="7"/>
        <v>12880</v>
      </c>
    </row>
    <row r="116" spans="1:7" x14ac:dyDescent="0.2">
      <c r="A116" s="97">
        <v>114</v>
      </c>
      <c r="B116" s="101">
        <v>3505</v>
      </c>
      <c r="D116" s="97">
        <f t="shared" si="4"/>
        <v>114</v>
      </c>
      <c r="E116" s="97">
        <f t="shared" si="5"/>
        <v>120</v>
      </c>
      <c r="F116" s="97">
        <f t="shared" si="6"/>
        <v>16092</v>
      </c>
      <c r="G116" s="97">
        <f t="shared" si="7"/>
        <v>11092</v>
      </c>
    </row>
    <row r="117" spans="1:7" x14ac:dyDescent="0.2">
      <c r="A117" s="97">
        <v>115</v>
      </c>
      <c r="B117" s="101">
        <v>3465</v>
      </c>
      <c r="D117" s="97">
        <f t="shared" si="4"/>
        <v>115</v>
      </c>
      <c r="E117" s="97">
        <f t="shared" si="5"/>
        <v>121</v>
      </c>
      <c r="F117" s="97">
        <f t="shared" si="6"/>
        <v>14673</v>
      </c>
      <c r="G117" s="97">
        <f t="shared" si="7"/>
        <v>9673</v>
      </c>
    </row>
    <row r="118" spans="1:7" x14ac:dyDescent="0.2">
      <c r="A118" s="97">
        <v>116</v>
      </c>
      <c r="B118" s="101">
        <v>2523</v>
      </c>
      <c r="D118" s="97">
        <f t="shared" si="4"/>
        <v>116</v>
      </c>
      <c r="E118" s="97">
        <f t="shared" si="5"/>
        <v>122</v>
      </c>
      <c r="F118" s="97">
        <f t="shared" si="6"/>
        <v>13651</v>
      </c>
      <c r="G118" s="97">
        <f t="shared" si="7"/>
        <v>8651</v>
      </c>
    </row>
    <row r="119" spans="1:7" x14ac:dyDescent="0.2">
      <c r="A119" s="97">
        <v>117</v>
      </c>
      <c r="B119" s="101">
        <v>1189</v>
      </c>
      <c r="D119" s="97">
        <f t="shared" si="4"/>
        <v>117</v>
      </c>
      <c r="E119" s="97">
        <f t="shared" si="5"/>
        <v>123</v>
      </c>
      <c r="F119" s="97">
        <f t="shared" si="6"/>
        <v>13911</v>
      </c>
      <c r="G119" s="97">
        <f t="shared" si="7"/>
        <v>8911</v>
      </c>
    </row>
    <row r="120" spans="1:7" x14ac:dyDescent="0.2">
      <c r="A120" s="97">
        <v>118</v>
      </c>
      <c r="B120" s="101">
        <v>3639</v>
      </c>
      <c r="D120" s="97">
        <f t="shared" si="4"/>
        <v>118</v>
      </c>
      <c r="E120" s="97">
        <f t="shared" si="5"/>
        <v>124</v>
      </c>
      <c r="F120" s="97">
        <f t="shared" si="6"/>
        <v>12722</v>
      </c>
      <c r="G120" s="97">
        <f t="shared" si="7"/>
        <v>7722</v>
      </c>
    </row>
    <row r="121" spans="1:7" x14ac:dyDescent="0.2">
      <c r="A121" s="97">
        <v>119</v>
      </c>
      <c r="B121" s="101">
        <v>578</v>
      </c>
      <c r="D121" s="97">
        <f t="shared" si="4"/>
        <v>119</v>
      </c>
      <c r="E121" s="97">
        <f t="shared" si="5"/>
        <v>125</v>
      </c>
      <c r="F121" s="97">
        <f t="shared" si="6"/>
        <v>11282</v>
      </c>
      <c r="G121" s="97">
        <f t="shared" si="7"/>
        <v>6282</v>
      </c>
    </row>
    <row r="122" spans="1:7" x14ac:dyDescent="0.2">
      <c r="A122" s="97">
        <v>120</v>
      </c>
      <c r="B122" s="101">
        <v>1193</v>
      </c>
      <c r="D122" s="97">
        <f t="shared" si="4"/>
        <v>120</v>
      </c>
      <c r="E122" s="97">
        <f t="shared" si="5"/>
        <v>126</v>
      </c>
      <c r="F122" s="97">
        <f t="shared" si="6"/>
        <v>12414</v>
      </c>
      <c r="G122" s="97">
        <f t="shared" si="7"/>
        <v>7414</v>
      </c>
    </row>
    <row r="123" spans="1:7" x14ac:dyDescent="0.2">
      <c r="A123" s="97">
        <v>121</v>
      </c>
      <c r="B123" s="101">
        <v>2086</v>
      </c>
      <c r="D123" s="97">
        <f t="shared" si="4"/>
        <v>121</v>
      </c>
      <c r="E123" s="97">
        <f t="shared" si="5"/>
        <v>127</v>
      </c>
      <c r="F123" s="97">
        <f t="shared" si="6"/>
        <v>12670</v>
      </c>
      <c r="G123" s="97">
        <f t="shared" si="7"/>
        <v>7670</v>
      </c>
    </row>
    <row r="124" spans="1:7" x14ac:dyDescent="0.2">
      <c r="A124" s="97">
        <v>122</v>
      </c>
      <c r="B124" s="101">
        <v>2443</v>
      </c>
      <c r="D124" s="97">
        <f t="shared" si="4"/>
        <v>122</v>
      </c>
      <c r="E124" s="97">
        <f t="shared" si="5"/>
        <v>128</v>
      </c>
      <c r="F124" s="97">
        <f t="shared" si="6"/>
        <v>11872</v>
      </c>
      <c r="G124" s="97">
        <f t="shared" si="7"/>
        <v>6872</v>
      </c>
    </row>
    <row r="125" spans="1:7" x14ac:dyDescent="0.2">
      <c r="A125" s="97">
        <v>123</v>
      </c>
      <c r="B125" s="101">
        <v>2783</v>
      </c>
      <c r="D125" s="97">
        <f t="shared" si="4"/>
        <v>123</v>
      </c>
      <c r="E125" s="97">
        <f t="shared" si="5"/>
        <v>129</v>
      </c>
      <c r="F125" s="97">
        <f t="shared" si="6"/>
        <v>11032</v>
      </c>
      <c r="G125" s="97">
        <f t="shared" si="7"/>
        <v>6032</v>
      </c>
    </row>
    <row r="126" spans="1:7" x14ac:dyDescent="0.2">
      <c r="A126" s="97">
        <v>124</v>
      </c>
      <c r="B126" s="101">
        <v>0</v>
      </c>
      <c r="D126" s="97">
        <f t="shared" si="4"/>
        <v>124</v>
      </c>
      <c r="E126" s="97">
        <f t="shared" si="5"/>
        <v>130</v>
      </c>
      <c r="F126" s="97">
        <f t="shared" si="6"/>
        <v>10290</v>
      </c>
      <c r="G126" s="97">
        <f t="shared" si="7"/>
        <v>5290</v>
      </c>
    </row>
    <row r="127" spans="1:7" x14ac:dyDescent="0.2">
      <c r="A127" s="97">
        <v>125</v>
      </c>
      <c r="B127" s="101">
        <v>2199</v>
      </c>
      <c r="D127" s="97">
        <f t="shared" si="4"/>
        <v>125</v>
      </c>
      <c r="E127" s="97">
        <f t="shared" si="5"/>
        <v>131</v>
      </c>
      <c r="F127" s="97">
        <f t="shared" si="6"/>
        <v>12421</v>
      </c>
      <c r="G127" s="97">
        <f t="shared" si="7"/>
        <v>7421</v>
      </c>
    </row>
    <row r="128" spans="1:7" x14ac:dyDescent="0.2">
      <c r="A128" s="97">
        <v>126</v>
      </c>
      <c r="B128" s="101">
        <v>1710</v>
      </c>
      <c r="D128" s="97">
        <f t="shared" si="4"/>
        <v>126</v>
      </c>
      <c r="E128" s="97">
        <f t="shared" si="5"/>
        <v>132</v>
      </c>
      <c r="F128" s="97">
        <f t="shared" si="6"/>
        <v>11996</v>
      </c>
      <c r="G128" s="97">
        <f t="shared" si="7"/>
        <v>6996</v>
      </c>
    </row>
    <row r="129" spans="1:7" x14ac:dyDescent="0.2">
      <c r="A129" s="97">
        <v>127</v>
      </c>
      <c r="B129" s="101">
        <v>1449</v>
      </c>
      <c r="D129" s="97">
        <f t="shared" si="4"/>
        <v>127</v>
      </c>
      <c r="E129" s="97">
        <f t="shared" si="5"/>
        <v>133</v>
      </c>
      <c r="F129" s="97">
        <f t="shared" si="6"/>
        <v>12802</v>
      </c>
      <c r="G129" s="97">
        <f t="shared" si="7"/>
        <v>7802</v>
      </c>
    </row>
    <row r="130" spans="1:7" x14ac:dyDescent="0.2">
      <c r="A130" s="97">
        <v>128</v>
      </c>
      <c r="B130" s="101">
        <v>1288</v>
      </c>
      <c r="D130" s="97">
        <f t="shared" si="4"/>
        <v>128</v>
      </c>
      <c r="E130" s="97">
        <f t="shared" si="5"/>
        <v>134</v>
      </c>
      <c r="F130" s="97">
        <f t="shared" si="6"/>
        <v>14004</v>
      </c>
      <c r="G130" s="97">
        <f t="shared" si="7"/>
        <v>9004</v>
      </c>
    </row>
    <row r="131" spans="1:7" x14ac:dyDescent="0.2">
      <c r="A131" s="97">
        <v>129</v>
      </c>
      <c r="B131" s="101">
        <v>1603</v>
      </c>
      <c r="D131" s="97">
        <f t="shared" si="4"/>
        <v>129</v>
      </c>
      <c r="E131" s="97">
        <f t="shared" si="5"/>
        <v>135</v>
      </c>
      <c r="F131" s="97">
        <f t="shared" si="6"/>
        <v>15316</v>
      </c>
      <c r="G131" s="97">
        <f t="shared" si="7"/>
        <v>10316</v>
      </c>
    </row>
    <row r="132" spans="1:7" x14ac:dyDescent="0.2">
      <c r="A132" s="97">
        <v>130</v>
      </c>
      <c r="B132" s="101">
        <v>2041</v>
      </c>
      <c r="D132" s="97">
        <f t="shared" ref="D132:D195" si="8">A132</f>
        <v>130</v>
      </c>
      <c r="E132" s="97">
        <f t="shared" ref="E132:E195" si="9">A138</f>
        <v>136</v>
      </c>
      <c r="F132" s="97">
        <f t="shared" ref="F132:F195" si="10">SUM(B132:B138)</f>
        <v>15594</v>
      </c>
      <c r="G132" s="97">
        <f t="shared" ref="G132:G195" si="11">MAX(F132-$J$5,0)</f>
        <v>10594</v>
      </c>
    </row>
    <row r="133" spans="1:7" x14ac:dyDescent="0.2">
      <c r="A133" s="97">
        <v>131</v>
      </c>
      <c r="B133" s="101">
        <v>2131</v>
      </c>
      <c r="D133" s="97">
        <f t="shared" si="8"/>
        <v>131</v>
      </c>
      <c r="E133" s="97">
        <f t="shared" si="9"/>
        <v>137</v>
      </c>
      <c r="F133" s="97">
        <f t="shared" si="10"/>
        <v>16633</v>
      </c>
      <c r="G133" s="97">
        <f t="shared" si="11"/>
        <v>11633</v>
      </c>
    </row>
    <row r="134" spans="1:7" x14ac:dyDescent="0.2">
      <c r="A134" s="97">
        <v>132</v>
      </c>
      <c r="B134" s="101">
        <v>1774</v>
      </c>
      <c r="D134" s="97">
        <f t="shared" si="8"/>
        <v>132</v>
      </c>
      <c r="E134" s="97">
        <f t="shared" si="9"/>
        <v>138</v>
      </c>
      <c r="F134" s="97">
        <f t="shared" si="10"/>
        <v>15593</v>
      </c>
      <c r="G134" s="97">
        <f t="shared" si="11"/>
        <v>10593</v>
      </c>
    </row>
    <row r="135" spans="1:7" x14ac:dyDescent="0.2">
      <c r="A135" s="97">
        <v>133</v>
      </c>
      <c r="B135" s="101">
        <v>2516</v>
      </c>
      <c r="D135" s="97">
        <f t="shared" si="8"/>
        <v>133</v>
      </c>
      <c r="E135" s="97">
        <f t="shared" si="9"/>
        <v>139</v>
      </c>
      <c r="F135" s="97">
        <f t="shared" si="10"/>
        <v>14244</v>
      </c>
      <c r="G135" s="97">
        <f t="shared" si="11"/>
        <v>9244</v>
      </c>
    </row>
    <row r="136" spans="1:7" x14ac:dyDescent="0.2">
      <c r="A136" s="97">
        <v>134</v>
      </c>
      <c r="B136" s="101">
        <v>2651</v>
      </c>
      <c r="D136" s="97">
        <f t="shared" si="8"/>
        <v>134</v>
      </c>
      <c r="E136" s="97">
        <f t="shared" si="9"/>
        <v>140</v>
      </c>
      <c r="F136" s="97">
        <f t="shared" si="10"/>
        <v>13993</v>
      </c>
      <c r="G136" s="97">
        <f t="shared" si="11"/>
        <v>8993</v>
      </c>
    </row>
    <row r="137" spans="1:7" x14ac:dyDescent="0.2">
      <c r="A137" s="97">
        <v>135</v>
      </c>
      <c r="B137" s="101">
        <v>2600</v>
      </c>
      <c r="D137" s="97">
        <f t="shared" si="8"/>
        <v>135</v>
      </c>
      <c r="E137" s="97">
        <f t="shared" si="9"/>
        <v>141</v>
      </c>
      <c r="F137" s="97">
        <f t="shared" si="10"/>
        <v>14593</v>
      </c>
      <c r="G137" s="97">
        <f t="shared" si="11"/>
        <v>9593</v>
      </c>
    </row>
    <row r="138" spans="1:7" x14ac:dyDescent="0.2">
      <c r="A138" s="97">
        <v>136</v>
      </c>
      <c r="B138" s="101">
        <v>1881</v>
      </c>
      <c r="D138" s="97">
        <f t="shared" si="8"/>
        <v>136</v>
      </c>
      <c r="E138" s="97">
        <f t="shared" si="9"/>
        <v>142</v>
      </c>
      <c r="F138" s="97">
        <f t="shared" si="10"/>
        <v>14714</v>
      </c>
      <c r="G138" s="97">
        <f t="shared" si="11"/>
        <v>9714</v>
      </c>
    </row>
    <row r="139" spans="1:7" x14ac:dyDescent="0.2">
      <c r="A139" s="97">
        <v>137</v>
      </c>
      <c r="B139" s="101">
        <v>3080</v>
      </c>
      <c r="D139" s="97">
        <f t="shared" si="8"/>
        <v>137</v>
      </c>
      <c r="E139" s="97">
        <f t="shared" si="9"/>
        <v>143</v>
      </c>
      <c r="F139" s="97">
        <f t="shared" si="10"/>
        <v>14301</v>
      </c>
      <c r="G139" s="97">
        <f t="shared" si="11"/>
        <v>9301</v>
      </c>
    </row>
    <row r="140" spans="1:7" x14ac:dyDescent="0.2">
      <c r="A140" s="97">
        <v>138</v>
      </c>
      <c r="B140" s="101">
        <v>1091</v>
      </c>
      <c r="D140" s="97">
        <f t="shared" si="8"/>
        <v>138</v>
      </c>
      <c r="E140" s="97">
        <f t="shared" si="9"/>
        <v>144</v>
      </c>
      <c r="F140" s="97">
        <f t="shared" si="10"/>
        <v>12551</v>
      </c>
      <c r="G140" s="97">
        <f t="shared" si="11"/>
        <v>7551</v>
      </c>
    </row>
    <row r="141" spans="1:7" x14ac:dyDescent="0.2">
      <c r="A141" s="97">
        <v>139</v>
      </c>
      <c r="B141" s="101">
        <v>425</v>
      </c>
      <c r="D141" s="97">
        <f t="shared" si="8"/>
        <v>139</v>
      </c>
      <c r="E141" s="97">
        <f t="shared" si="9"/>
        <v>145</v>
      </c>
      <c r="F141" s="97">
        <f t="shared" si="10"/>
        <v>11980</v>
      </c>
      <c r="G141" s="97">
        <f t="shared" si="11"/>
        <v>6980</v>
      </c>
    </row>
    <row r="142" spans="1:7" x14ac:dyDescent="0.2">
      <c r="A142" s="97">
        <v>140</v>
      </c>
      <c r="B142" s="101">
        <v>2265</v>
      </c>
      <c r="D142" s="97">
        <f t="shared" si="8"/>
        <v>140</v>
      </c>
      <c r="E142" s="97">
        <f t="shared" si="9"/>
        <v>146</v>
      </c>
      <c r="F142" s="97">
        <f t="shared" si="10"/>
        <v>13464</v>
      </c>
      <c r="G142" s="97">
        <f t="shared" si="11"/>
        <v>8464</v>
      </c>
    </row>
    <row r="143" spans="1:7" x14ac:dyDescent="0.2">
      <c r="A143" s="97">
        <v>141</v>
      </c>
      <c r="B143" s="101">
        <v>3251</v>
      </c>
      <c r="D143" s="97">
        <f t="shared" si="8"/>
        <v>141</v>
      </c>
      <c r="E143" s="97">
        <f t="shared" si="9"/>
        <v>147</v>
      </c>
      <c r="F143" s="97">
        <f t="shared" si="10"/>
        <v>11769</v>
      </c>
      <c r="G143" s="97">
        <f t="shared" si="11"/>
        <v>6769</v>
      </c>
    </row>
    <row r="144" spans="1:7" x14ac:dyDescent="0.2">
      <c r="A144" s="97">
        <v>142</v>
      </c>
      <c r="B144" s="101">
        <v>2721</v>
      </c>
      <c r="D144" s="97">
        <f t="shared" si="8"/>
        <v>142</v>
      </c>
      <c r="E144" s="97">
        <f t="shared" si="9"/>
        <v>148</v>
      </c>
      <c r="F144" s="97">
        <f t="shared" si="10"/>
        <v>8974</v>
      </c>
      <c r="G144" s="97">
        <f t="shared" si="11"/>
        <v>3974</v>
      </c>
    </row>
    <row r="145" spans="1:7" x14ac:dyDescent="0.2">
      <c r="A145" s="97">
        <v>143</v>
      </c>
      <c r="B145" s="101">
        <v>1468</v>
      </c>
      <c r="D145" s="97">
        <f t="shared" si="8"/>
        <v>143</v>
      </c>
      <c r="E145" s="97">
        <f t="shared" si="9"/>
        <v>149</v>
      </c>
      <c r="F145" s="97">
        <f t="shared" si="10"/>
        <v>8101</v>
      </c>
      <c r="G145" s="97">
        <f t="shared" si="11"/>
        <v>3101</v>
      </c>
    </row>
    <row r="146" spans="1:7" x14ac:dyDescent="0.2">
      <c r="A146" s="97">
        <v>144</v>
      </c>
      <c r="B146" s="101">
        <v>1330</v>
      </c>
      <c r="D146" s="97">
        <f t="shared" si="8"/>
        <v>144</v>
      </c>
      <c r="E146" s="97">
        <f t="shared" si="9"/>
        <v>150</v>
      </c>
      <c r="F146" s="97">
        <f t="shared" si="10"/>
        <v>9091</v>
      </c>
      <c r="G146" s="97">
        <f t="shared" si="11"/>
        <v>4091</v>
      </c>
    </row>
    <row r="147" spans="1:7" x14ac:dyDescent="0.2">
      <c r="A147" s="97">
        <v>145</v>
      </c>
      <c r="B147" s="101">
        <v>520</v>
      </c>
      <c r="D147" s="97">
        <f t="shared" si="8"/>
        <v>145</v>
      </c>
      <c r="E147" s="97">
        <f t="shared" si="9"/>
        <v>151</v>
      </c>
      <c r="F147" s="97">
        <f t="shared" si="10"/>
        <v>7971</v>
      </c>
      <c r="G147" s="97">
        <f t="shared" si="11"/>
        <v>2971</v>
      </c>
    </row>
    <row r="148" spans="1:7" x14ac:dyDescent="0.2">
      <c r="A148" s="97">
        <v>146</v>
      </c>
      <c r="B148" s="101">
        <v>1909</v>
      </c>
      <c r="D148" s="97">
        <f t="shared" si="8"/>
        <v>146</v>
      </c>
      <c r="E148" s="97">
        <f t="shared" si="9"/>
        <v>152</v>
      </c>
      <c r="F148" s="97">
        <f t="shared" si="10"/>
        <v>8375</v>
      </c>
      <c r="G148" s="97">
        <f t="shared" si="11"/>
        <v>3375</v>
      </c>
    </row>
    <row r="149" spans="1:7" x14ac:dyDescent="0.2">
      <c r="A149" s="97">
        <v>147</v>
      </c>
      <c r="B149" s="101">
        <v>570</v>
      </c>
      <c r="D149" s="97">
        <f t="shared" si="8"/>
        <v>147</v>
      </c>
      <c r="E149" s="97">
        <f t="shared" si="9"/>
        <v>153</v>
      </c>
      <c r="F149" s="97">
        <f t="shared" si="10"/>
        <v>8311</v>
      </c>
      <c r="G149" s="97">
        <f t="shared" si="11"/>
        <v>3311</v>
      </c>
    </row>
    <row r="150" spans="1:7" x14ac:dyDescent="0.2">
      <c r="A150" s="97">
        <v>148</v>
      </c>
      <c r="B150" s="101">
        <v>456</v>
      </c>
      <c r="D150" s="97">
        <f t="shared" si="8"/>
        <v>148</v>
      </c>
      <c r="E150" s="97">
        <f t="shared" si="9"/>
        <v>154</v>
      </c>
      <c r="F150" s="97">
        <f t="shared" si="10"/>
        <v>10514</v>
      </c>
      <c r="G150" s="97">
        <f t="shared" si="11"/>
        <v>5514</v>
      </c>
    </row>
    <row r="151" spans="1:7" x14ac:dyDescent="0.2">
      <c r="A151" s="97">
        <v>149</v>
      </c>
      <c r="B151" s="101">
        <v>1848</v>
      </c>
      <c r="D151" s="97">
        <f t="shared" si="8"/>
        <v>149</v>
      </c>
      <c r="E151" s="97">
        <f t="shared" si="9"/>
        <v>155</v>
      </c>
      <c r="F151" s="97">
        <f t="shared" si="10"/>
        <v>11203</v>
      </c>
      <c r="G151" s="97">
        <f t="shared" si="11"/>
        <v>6203</v>
      </c>
    </row>
    <row r="152" spans="1:7" x14ac:dyDescent="0.2">
      <c r="A152" s="97">
        <v>150</v>
      </c>
      <c r="B152" s="101">
        <v>2458</v>
      </c>
      <c r="D152" s="97">
        <f t="shared" si="8"/>
        <v>150</v>
      </c>
      <c r="E152" s="97">
        <f t="shared" si="9"/>
        <v>156</v>
      </c>
      <c r="F152" s="97">
        <f t="shared" si="10"/>
        <v>11386</v>
      </c>
      <c r="G152" s="97">
        <f t="shared" si="11"/>
        <v>6386</v>
      </c>
    </row>
    <row r="153" spans="1:7" x14ac:dyDescent="0.2">
      <c r="A153" s="97">
        <v>151</v>
      </c>
      <c r="B153" s="101">
        <v>210</v>
      </c>
      <c r="D153" s="97">
        <f t="shared" si="8"/>
        <v>151</v>
      </c>
      <c r="E153" s="97">
        <f t="shared" si="9"/>
        <v>157</v>
      </c>
      <c r="F153" s="97">
        <f t="shared" si="10"/>
        <v>10618</v>
      </c>
      <c r="G153" s="97">
        <f t="shared" si="11"/>
        <v>5618</v>
      </c>
    </row>
    <row r="154" spans="1:7" x14ac:dyDescent="0.2">
      <c r="A154" s="97">
        <v>152</v>
      </c>
      <c r="B154" s="101">
        <v>924</v>
      </c>
      <c r="D154" s="97">
        <f t="shared" si="8"/>
        <v>152</v>
      </c>
      <c r="E154" s="97">
        <f t="shared" si="9"/>
        <v>158</v>
      </c>
      <c r="F154" s="97">
        <f t="shared" si="10"/>
        <v>11981</v>
      </c>
      <c r="G154" s="97">
        <f t="shared" si="11"/>
        <v>6981</v>
      </c>
    </row>
    <row r="155" spans="1:7" x14ac:dyDescent="0.2">
      <c r="A155" s="97">
        <v>153</v>
      </c>
      <c r="B155" s="101">
        <v>1845</v>
      </c>
      <c r="D155" s="97">
        <f t="shared" si="8"/>
        <v>153</v>
      </c>
      <c r="E155" s="97">
        <f t="shared" si="9"/>
        <v>159</v>
      </c>
      <c r="F155" s="97">
        <f t="shared" si="10"/>
        <v>12937</v>
      </c>
      <c r="G155" s="97">
        <f t="shared" si="11"/>
        <v>7937</v>
      </c>
    </row>
    <row r="156" spans="1:7" x14ac:dyDescent="0.2">
      <c r="A156" s="97">
        <v>154</v>
      </c>
      <c r="B156" s="101">
        <v>2773</v>
      </c>
      <c r="D156" s="97">
        <f t="shared" si="8"/>
        <v>154</v>
      </c>
      <c r="E156" s="97">
        <f t="shared" si="9"/>
        <v>160</v>
      </c>
      <c r="F156" s="97">
        <f t="shared" si="10"/>
        <v>13482</v>
      </c>
      <c r="G156" s="97">
        <f t="shared" si="11"/>
        <v>8482</v>
      </c>
    </row>
    <row r="157" spans="1:7" x14ac:dyDescent="0.2">
      <c r="A157" s="97">
        <v>155</v>
      </c>
      <c r="B157" s="101">
        <v>1145</v>
      </c>
      <c r="D157" s="97">
        <f t="shared" si="8"/>
        <v>155</v>
      </c>
      <c r="E157" s="97">
        <f t="shared" si="9"/>
        <v>161</v>
      </c>
      <c r="F157" s="97">
        <f t="shared" si="10"/>
        <v>13615</v>
      </c>
      <c r="G157" s="97">
        <f t="shared" si="11"/>
        <v>8615</v>
      </c>
    </row>
    <row r="158" spans="1:7" x14ac:dyDescent="0.2">
      <c r="A158" s="97">
        <v>156</v>
      </c>
      <c r="B158" s="101">
        <v>2031</v>
      </c>
      <c r="D158" s="97">
        <f t="shared" si="8"/>
        <v>156</v>
      </c>
      <c r="E158" s="97">
        <f t="shared" si="9"/>
        <v>162</v>
      </c>
      <c r="F158" s="97">
        <f t="shared" si="10"/>
        <v>13843</v>
      </c>
      <c r="G158" s="97">
        <f t="shared" si="11"/>
        <v>8843</v>
      </c>
    </row>
    <row r="159" spans="1:7" x14ac:dyDescent="0.2">
      <c r="A159" s="97">
        <v>157</v>
      </c>
      <c r="B159" s="101">
        <v>1690</v>
      </c>
      <c r="D159" s="97">
        <f t="shared" si="8"/>
        <v>157</v>
      </c>
      <c r="E159" s="97">
        <f t="shared" si="9"/>
        <v>163</v>
      </c>
      <c r="F159" s="97">
        <f t="shared" si="10"/>
        <v>13745</v>
      </c>
      <c r="G159" s="97">
        <f t="shared" si="11"/>
        <v>8745</v>
      </c>
    </row>
    <row r="160" spans="1:7" x14ac:dyDescent="0.2">
      <c r="A160" s="97">
        <v>158</v>
      </c>
      <c r="B160" s="101">
        <v>1573</v>
      </c>
      <c r="D160" s="97">
        <f t="shared" si="8"/>
        <v>158</v>
      </c>
      <c r="E160" s="97">
        <f t="shared" si="9"/>
        <v>164</v>
      </c>
      <c r="F160" s="97">
        <f t="shared" si="10"/>
        <v>13348</v>
      </c>
      <c r="G160" s="97">
        <f t="shared" si="11"/>
        <v>8348</v>
      </c>
    </row>
    <row r="161" spans="1:7" x14ac:dyDescent="0.2">
      <c r="A161" s="97">
        <v>159</v>
      </c>
      <c r="B161" s="101">
        <v>1880</v>
      </c>
      <c r="D161" s="97">
        <f t="shared" si="8"/>
        <v>159</v>
      </c>
      <c r="E161" s="97">
        <f t="shared" si="9"/>
        <v>165</v>
      </c>
      <c r="F161" s="97">
        <f t="shared" si="10"/>
        <v>14374</v>
      </c>
      <c r="G161" s="97">
        <f t="shared" si="11"/>
        <v>9374</v>
      </c>
    </row>
    <row r="162" spans="1:7" x14ac:dyDescent="0.2">
      <c r="A162" s="97">
        <v>160</v>
      </c>
      <c r="B162" s="101">
        <v>2390</v>
      </c>
      <c r="D162" s="97">
        <f t="shared" si="8"/>
        <v>160</v>
      </c>
      <c r="E162" s="97">
        <f t="shared" si="9"/>
        <v>166</v>
      </c>
      <c r="F162" s="97">
        <f t="shared" si="10"/>
        <v>14168</v>
      </c>
      <c r="G162" s="97">
        <f t="shared" si="11"/>
        <v>9168</v>
      </c>
    </row>
    <row r="163" spans="1:7" x14ac:dyDescent="0.2">
      <c r="A163" s="97">
        <v>161</v>
      </c>
      <c r="B163" s="101">
        <v>2906</v>
      </c>
      <c r="D163" s="97">
        <f t="shared" si="8"/>
        <v>161</v>
      </c>
      <c r="E163" s="97">
        <f t="shared" si="9"/>
        <v>167</v>
      </c>
      <c r="F163" s="97">
        <f t="shared" si="10"/>
        <v>12888</v>
      </c>
      <c r="G163" s="97">
        <f t="shared" si="11"/>
        <v>7888</v>
      </c>
    </row>
    <row r="164" spans="1:7" x14ac:dyDescent="0.2">
      <c r="A164" s="97">
        <v>162</v>
      </c>
      <c r="B164" s="101">
        <v>1373</v>
      </c>
      <c r="D164" s="97">
        <f t="shared" si="8"/>
        <v>162</v>
      </c>
      <c r="E164" s="97">
        <f t="shared" si="9"/>
        <v>168</v>
      </c>
      <c r="F164" s="97">
        <f t="shared" si="10"/>
        <v>11656</v>
      </c>
      <c r="G164" s="97">
        <f t="shared" si="11"/>
        <v>6656</v>
      </c>
    </row>
    <row r="165" spans="1:7" x14ac:dyDescent="0.2">
      <c r="A165" s="97">
        <v>163</v>
      </c>
      <c r="B165" s="101">
        <v>1933</v>
      </c>
      <c r="D165" s="97">
        <f t="shared" si="8"/>
        <v>163</v>
      </c>
      <c r="E165" s="97">
        <f t="shared" si="9"/>
        <v>169</v>
      </c>
      <c r="F165" s="97">
        <f t="shared" si="10"/>
        <v>12804</v>
      </c>
      <c r="G165" s="97">
        <f t="shared" si="11"/>
        <v>7804</v>
      </c>
    </row>
    <row r="166" spans="1:7" x14ac:dyDescent="0.2">
      <c r="A166" s="97">
        <v>164</v>
      </c>
      <c r="B166" s="101">
        <v>1293</v>
      </c>
      <c r="D166" s="97">
        <f t="shared" si="8"/>
        <v>164</v>
      </c>
      <c r="E166" s="97">
        <f t="shared" si="9"/>
        <v>170</v>
      </c>
      <c r="F166" s="97">
        <f t="shared" si="10"/>
        <v>12147</v>
      </c>
      <c r="G166" s="97">
        <f t="shared" si="11"/>
        <v>7147</v>
      </c>
    </row>
    <row r="167" spans="1:7" x14ac:dyDescent="0.2">
      <c r="A167" s="97">
        <v>165</v>
      </c>
      <c r="B167" s="101">
        <v>2599</v>
      </c>
      <c r="D167" s="97">
        <f t="shared" si="8"/>
        <v>165</v>
      </c>
      <c r="E167" s="97">
        <f t="shared" si="9"/>
        <v>171</v>
      </c>
      <c r="F167" s="97">
        <f t="shared" si="10"/>
        <v>11178</v>
      </c>
      <c r="G167" s="97">
        <f t="shared" si="11"/>
        <v>6178</v>
      </c>
    </row>
    <row r="168" spans="1:7" x14ac:dyDescent="0.2">
      <c r="A168" s="97">
        <v>166</v>
      </c>
      <c r="B168" s="101">
        <v>1674</v>
      </c>
      <c r="D168" s="97">
        <f t="shared" si="8"/>
        <v>166</v>
      </c>
      <c r="E168" s="97">
        <f t="shared" si="9"/>
        <v>172</v>
      </c>
      <c r="F168" s="97">
        <f t="shared" si="10"/>
        <v>9962</v>
      </c>
      <c r="G168" s="97">
        <f t="shared" si="11"/>
        <v>4962</v>
      </c>
    </row>
    <row r="169" spans="1:7" x14ac:dyDescent="0.2">
      <c r="A169" s="97">
        <v>167</v>
      </c>
      <c r="B169" s="101">
        <v>1110</v>
      </c>
      <c r="D169" s="97">
        <f t="shared" si="8"/>
        <v>167</v>
      </c>
      <c r="E169" s="97">
        <f t="shared" si="9"/>
        <v>173</v>
      </c>
      <c r="F169" s="97">
        <f t="shared" si="10"/>
        <v>9369</v>
      </c>
      <c r="G169" s="97">
        <f t="shared" si="11"/>
        <v>4369</v>
      </c>
    </row>
    <row r="170" spans="1:7" x14ac:dyDescent="0.2">
      <c r="A170" s="97">
        <v>168</v>
      </c>
      <c r="B170" s="101">
        <v>1674</v>
      </c>
      <c r="D170" s="97">
        <f t="shared" si="8"/>
        <v>168</v>
      </c>
      <c r="E170" s="97">
        <f t="shared" si="9"/>
        <v>174</v>
      </c>
      <c r="F170" s="97">
        <f t="shared" si="10"/>
        <v>10475</v>
      </c>
      <c r="G170" s="97">
        <f t="shared" si="11"/>
        <v>5475</v>
      </c>
    </row>
    <row r="171" spans="1:7" x14ac:dyDescent="0.2">
      <c r="A171" s="97">
        <v>169</v>
      </c>
      <c r="B171" s="101">
        <v>2521</v>
      </c>
      <c r="D171" s="97">
        <f t="shared" si="8"/>
        <v>169</v>
      </c>
      <c r="E171" s="97">
        <f t="shared" si="9"/>
        <v>175</v>
      </c>
      <c r="F171" s="97">
        <f t="shared" si="10"/>
        <v>9400</v>
      </c>
      <c r="G171" s="97">
        <f t="shared" si="11"/>
        <v>4400</v>
      </c>
    </row>
    <row r="172" spans="1:7" x14ac:dyDescent="0.2">
      <c r="A172" s="97">
        <v>170</v>
      </c>
      <c r="B172" s="101">
        <v>1276</v>
      </c>
      <c r="D172" s="97">
        <f t="shared" si="8"/>
        <v>170</v>
      </c>
      <c r="E172" s="97">
        <f t="shared" si="9"/>
        <v>176</v>
      </c>
      <c r="F172" s="97">
        <f t="shared" si="10"/>
        <v>9649</v>
      </c>
      <c r="G172" s="97">
        <f t="shared" si="11"/>
        <v>4649</v>
      </c>
    </row>
    <row r="173" spans="1:7" x14ac:dyDescent="0.2">
      <c r="A173" s="97">
        <v>171</v>
      </c>
      <c r="B173" s="101">
        <v>324</v>
      </c>
      <c r="D173" s="97">
        <f t="shared" si="8"/>
        <v>171</v>
      </c>
      <c r="E173" s="97">
        <f t="shared" si="9"/>
        <v>177</v>
      </c>
      <c r="F173" s="97">
        <f t="shared" si="10"/>
        <v>10322</v>
      </c>
      <c r="G173" s="97">
        <f t="shared" si="11"/>
        <v>5322</v>
      </c>
    </row>
    <row r="174" spans="1:7" x14ac:dyDescent="0.2">
      <c r="A174" s="97">
        <v>172</v>
      </c>
      <c r="B174" s="101">
        <v>1383</v>
      </c>
      <c r="D174" s="97">
        <f t="shared" si="8"/>
        <v>172</v>
      </c>
      <c r="E174" s="97">
        <f t="shared" si="9"/>
        <v>178</v>
      </c>
      <c r="F174" s="97">
        <f t="shared" si="10"/>
        <v>12377</v>
      </c>
      <c r="G174" s="97">
        <f t="shared" si="11"/>
        <v>7377</v>
      </c>
    </row>
    <row r="175" spans="1:7" x14ac:dyDescent="0.2">
      <c r="A175" s="97">
        <v>173</v>
      </c>
      <c r="B175" s="101">
        <v>1081</v>
      </c>
      <c r="D175" s="97">
        <f t="shared" si="8"/>
        <v>173</v>
      </c>
      <c r="E175" s="97">
        <f t="shared" si="9"/>
        <v>179</v>
      </c>
      <c r="F175" s="97">
        <f t="shared" si="10"/>
        <v>13732</v>
      </c>
      <c r="G175" s="97">
        <f t="shared" si="11"/>
        <v>8732</v>
      </c>
    </row>
    <row r="176" spans="1:7" x14ac:dyDescent="0.2">
      <c r="A176" s="97">
        <v>174</v>
      </c>
      <c r="B176" s="101">
        <v>2216</v>
      </c>
      <c r="D176" s="97">
        <f t="shared" si="8"/>
        <v>174</v>
      </c>
      <c r="E176" s="97">
        <f t="shared" si="9"/>
        <v>180</v>
      </c>
      <c r="F176" s="97">
        <f t="shared" si="10"/>
        <v>13877</v>
      </c>
      <c r="G176" s="97">
        <f t="shared" si="11"/>
        <v>8877</v>
      </c>
    </row>
    <row r="177" spans="1:7" x14ac:dyDescent="0.2">
      <c r="A177" s="97">
        <v>175</v>
      </c>
      <c r="B177" s="101">
        <v>599</v>
      </c>
      <c r="D177" s="97">
        <f t="shared" si="8"/>
        <v>175</v>
      </c>
      <c r="E177" s="97">
        <f t="shared" si="9"/>
        <v>181</v>
      </c>
      <c r="F177" s="97">
        <f t="shared" si="10"/>
        <v>13737</v>
      </c>
      <c r="G177" s="97">
        <f t="shared" si="11"/>
        <v>8737</v>
      </c>
    </row>
    <row r="178" spans="1:7" x14ac:dyDescent="0.2">
      <c r="A178" s="97">
        <v>176</v>
      </c>
      <c r="B178" s="101">
        <v>2770</v>
      </c>
      <c r="D178" s="97">
        <f t="shared" si="8"/>
        <v>176</v>
      </c>
      <c r="E178" s="97">
        <f t="shared" si="9"/>
        <v>182</v>
      </c>
      <c r="F178" s="97">
        <f t="shared" si="10"/>
        <v>13814</v>
      </c>
      <c r="G178" s="97">
        <f t="shared" si="11"/>
        <v>8814</v>
      </c>
    </row>
    <row r="179" spans="1:7" x14ac:dyDescent="0.2">
      <c r="A179" s="97">
        <v>177</v>
      </c>
      <c r="B179" s="101">
        <v>1949</v>
      </c>
      <c r="D179" s="97">
        <f t="shared" si="8"/>
        <v>177</v>
      </c>
      <c r="E179" s="97">
        <f t="shared" si="9"/>
        <v>183</v>
      </c>
      <c r="F179" s="97">
        <f t="shared" si="10"/>
        <v>14608</v>
      </c>
      <c r="G179" s="97">
        <f t="shared" si="11"/>
        <v>9608</v>
      </c>
    </row>
    <row r="180" spans="1:7" x14ac:dyDescent="0.2">
      <c r="A180" s="97">
        <v>178</v>
      </c>
      <c r="B180" s="101">
        <v>2379</v>
      </c>
      <c r="D180" s="97">
        <f t="shared" si="8"/>
        <v>178</v>
      </c>
      <c r="E180" s="97">
        <f t="shared" si="9"/>
        <v>184</v>
      </c>
      <c r="F180" s="97">
        <f t="shared" si="10"/>
        <v>14860</v>
      </c>
      <c r="G180" s="97">
        <f t="shared" si="11"/>
        <v>9860</v>
      </c>
    </row>
    <row r="181" spans="1:7" x14ac:dyDescent="0.2">
      <c r="A181" s="97">
        <v>179</v>
      </c>
      <c r="B181" s="101">
        <v>2738</v>
      </c>
      <c r="D181" s="97">
        <f t="shared" si="8"/>
        <v>179</v>
      </c>
      <c r="E181" s="97">
        <f t="shared" si="9"/>
        <v>185</v>
      </c>
      <c r="F181" s="97">
        <f t="shared" si="10"/>
        <v>14715</v>
      </c>
      <c r="G181" s="97">
        <f t="shared" si="11"/>
        <v>9715</v>
      </c>
    </row>
    <row r="182" spans="1:7" x14ac:dyDescent="0.2">
      <c r="A182" s="97">
        <v>180</v>
      </c>
      <c r="B182" s="101">
        <v>1226</v>
      </c>
      <c r="D182" s="97">
        <f t="shared" si="8"/>
        <v>180</v>
      </c>
      <c r="E182" s="97">
        <f t="shared" si="9"/>
        <v>186</v>
      </c>
      <c r="F182" s="97">
        <f t="shared" si="10"/>
        <v>14253</v>
      </c>
      <c r="G182" s="97">
        <f t="shared" si="11"/>
        <v>9253</v>
      </c>
    </row>
    <row r="183" spans="1:7" x14ac:dyDescent="0.2">
      <c r="A183" s="97">
        <v>181</v>
      </c>
      <c r="B183" s="101">
        <v>2076</v>
      </c>
      <c r="D183" s="97">
        <f t="shared" si="8"/>
        <v>181</v>
      </c>
      <c r="E183" s="97">
        <f t="shared" si="9"/>
        <v>187</v>
      </c>
      <c r="F183" s="97">
        <f t="shared" si="10"/>
        <v>14442</v>
      </c>
      <c r="G183" s="97">
        <f t="shared" si="11"/>
        <v>9442</v>
      </c>
    </row>
    <row r="184" spans="1:7" x14ac:dyDescent="0.2">
      <c r="A184" s="97">
        <v>182</v>
      </c>
      <c r="B184" s="101">
        <v>676</v>
      </c>
      <c r="D184" s="97">
        <f t="shared" si="8"/>
        <v>182</v>
      </c>
      <c r="E184" s="97">
        <f t="shared" si="9"/>
        <v>188</v>
      </c>
      <c r="F184" s="97">
        <f t="shared" si="10"/>
        <v>13347</v>
      </c>
      <c r="G184" s="97">
        <f t="shared" si="11"/>
        <v>8347</v>
      </c>
    </row>
    <row r="185" spans="1:7" x14ac:dyDescent="0.2">
      <c r="A185" s="97">
        <v>183</v>
      </c>
      <c r="B185" s="101">
        <v>3564</v>
      </c>
      <c r="D185" s="97">
        <f t="shared" si="8"/>
        <v>183</v>
      </c>
      <c r="E185" s="97">
        <f t="shared" si="9"/>
        <v>189</v>
      </c>
      <c r="F185" s="97">
        <f t="shared" si="10"/>
        <v>14867</v>
      </c>
      <c r="G185" s="97">
        <f t="shared" si="11"/>
        <v>9867</v>
      </c>
    </row>
    <row r="186" spans="1:7" x14ac:dyDescent="0.2">
      <c r="A186" s="97">
        <v>184</v>
      </c>
      <c r="B186" s="101">
        <v>2201</v>
      </c>
      <c r="D186" s="97">
        <f t="shared" si="8"/>
        <v>184</v>
      </c>
      <c r="E186" s="97">
        <f t="shared" si="9"/>
        <v>190</v>
      </c>
      <c r="F186" s="97">
        <f t="shared" si="10"/>
        <v>13226</v>
      </c>
      <c r="G186" s="97">
        <f t="shared" si="11"/>
        <v>8226</v>
      </c>
    </row>
    <row r="187" spans="1:7" x14ac:dyDescent="0.2">
      <c r="A187" s="97">
        <v>185</v>
      </c>
      <c r="B187" s="101">
        <v>2234</v>
      </c>
      <c r="D187" s="97">
        <f t="shared" si="8"/>
        <v>185</v>
      </c>
      <c r="E187" s="97">
        <f t="shared" si="9"/>
        <v>191</v>
      </c>
      <c r="F187" s="97">
        <f t="shared" si="10"/>
        <v>13464</v>
      </c>
      <c r="G187" s="97">
        <f t="shared" si="11"/>
        <v>8464</v>
      </c>
    </row>
    <row r="188" spans="1:7" x14ac:dyDescent="0.2">
      <c r="A188" s="97">
        <v>186</v>
      </c>
      <c r="B188" s="101">
        <v>2276</v>
      </c>
      <c r="D188" s="97">
        <f t="shared" si="8"/>
        <v>186</v>
      </c>
      <c r="E188" s="97">
        <f t="shared" si="9"/>
        <v>192</v>
      </c>
      <c r="F188" s="97">
        <f t="shared" si="10"/>
        <v>13930</v>
      </c>
      <c r="G188" s="97">
        <f t="shared" si="11"/>
        <v>8930</v>
      </c>
    </row>
    <row r="189" spans="1:7" x14ac:dyDescent="0.2">
      <c r="A189" s="97">
        <v>187</v>
      </c>
      <c r="B189" s="101">
        <v>1415</v>
      </c>
      <c r="D189" s="97">
        <f t="shared" si="8"/>
        <v>187</v>
      </c>
      <c r="E189" s="97">
        <f t="shared" si="9"/>
        <v>193</v>
      </c>
      <c r="F189" s="97">
        <f t="shared" si="10"/>
        <v>12353</v>
      </c>
      <c r="G189" s="97">
        <f t="shared" si="11"/>
        <v>7353</v>
      </c>
    </row>
    <row r="190" spans="1:7" x14ac:dyDescent="0.2">
      <c r="A190" s="97">
        <v>188</v>
      </c>
      <c r="B190" s="101">
        <v>981</v>
      </c>
      <c r="D190" s="97">
        <f t="shared" si="8"/>
        <v>188</v>
      </c>
      <c r="E190" s="97">
        <f t="shared" si="9"/>
        <v>194</v>
      </c>
      <c r="F190" s="97">
        <f t="shared" si="10"/>
        <v>12203</v>
      </c>
      <c r="G190" s="97">
        <f t="shared" si="11"/>
        <v>7203</v>
      </c>
    </row>
    <row r="191" spans="1:7" x14ac:dyDescent="0.2">
      <c r="A191" s="97">
        <v>189</v>
      </c>
      <c r="B191" s="101">
        <v>2196</v>
      </c>
      <c r="D191" s="97">
        <f t="shared" si="8"/>
        <v>189</v>
      </c>
      <c r="E191" s="97">
        <f t="shared" si="9"/>
        <v>195</v>
      </c>
      <c r="F191" s="97">
        <f t="shared" si="10"/>
        <v>12413</v>
      </c>
      <c r="G191" s="97">
        <f t="shared" si="11"/>
        <v>7413</v>
      </c>
    </row>
    <row r="192" spans="1:7" x14ac:dyDescent="0.2">
      <c r="A192" s="97">
        <v>190</v>
      </c>
      <c r="B192" s="101">
        <v>1923</v>
      </c>
      <c r="D192" s="97">
        <f t="shared" si="8"/>
        <v>190</v>
      </c>
      <c r="E192" s="97">
        <f t="shared" si="9"/>
        <v>196</v>
      </c>
      <c r="F192" s="97">
        <f t="shared" si="10"/>
        <v>11307</v>
      </c>
      <c r="G192" s="97">
        <f t="shared" si="11"/>
        <v>6307</v>
      </c>
    </row>
    <row r="193" spans="1:7" x14ac:dyDescent="0.2">
      <c r="A193" s="97">
        <v>191</v>
      </c>
      <c r="B193" s="101">
        <v>2439</v>
      </c>
      <c r="D193" s="97">
        <f t="shared" si="8"/>
        <v>191</v>
      </c>
      <c r="E193" s="97">
        <f t="shared" si="9"/>
        <v>197</v>
      </c>
      <c r="F193" s="97">
        <f t="shared" si="10"/>
        <v>9384</v>
      </c>
      <c r="G193" s="97">
        <f t="shared" si="11"/>
        <v>4384</v>
      </c>
    </row>
    <row r="194" spans="1:7" x14ac:dyDescent="0.2">
      <c r="A194" s="97">
        <v>192</v>
      </c>
      <c r="B194" s="101">
        <v>2700</v>
      </c>
      <c r="D194" s="97">
        <f t="shared" si="8"/>
        <v>192</v>
      </c>
      <c r="E194" s="97">
        <f t="shared" si="9"/>
        <v>198</v>
      </c>
      <c r="F194" s="97">
        <f t="shared" si="10"/>
        <v>8758</v>
      </c>
      <c r="G194" s="97">
        <f t="shared" si="11"/>
        <v>3758</v>
      </c>
    </row>
    <row r="195" spans="1:7" x14ac:dyDescent="0.2">
      <c r="A195" s="97">
        <v>193</v>
      </c>
      <c r="B195" s="101">
        <v>699</v>
      </c>
      <c r="D195" s="97">
        <f t="shared" si="8"/>
        <v>193</v>
      </c>
      <c r="E195" s="97">
        <f t="shared" si="9"/>
        <v>199</v>
      </c>
      <c r="F195" s="97">
        <f t="shared" si="10"/>
        <v>8912</v>
      </c>
      <c r="G195" s="97">
        <f t="shared" si="11"/>
        <v>3912</v>
      </c>
    </row>
    <row r="196" spans="1:7" x14ac:dyDescent="0.2">
      <c r="A196" s="97">
        <v>194</v>
      </c>
      <c r="B196" s="101">
        <v>1265</v>
      </c>
      <c r="D196" s="97">
        <f t="shared" ref="D196:D259" si="12">A196</f>
        <v>194</v>
      </c>
      <c r="E196" s="97">
        <f t="shared" ref="E196:E259" si="13">A202</f>
        <v>200</v>
      </c>
      <c r="F196" s="97">
        <f t="shared" ref="F196:F259" si="14">SUM(B196:B202)</f>
        <v>9647</v>
      </c>
      <c r="G196" s="97">
        <f t="shared" ref="G196:G259" si="15">MAX(F196-$J$5,0)</f>
        <v>4647</v>
      </c>
    </row>
    <row r="197" spans="1:7" x14ac:dyDescent="0.2">
      <c r="A197" s="97">
        <v>195</v>
      </c>
      <c r="B197" s="101">
        <v>1191</v>
      </c>
      <c r="D197" s="97">
        <f t="shared" si="12"/>
        <v>195</v>
      </c>
      <c r="E197" s="97">
        <f t="shared" si="13"/>
        <v>201</v>
      </c>
      <c r="F197" s="97">
        <f t="shared" si="14"/>
        <v>10231</v>
      </c>
      <c r="G197" s="97">
        <f t="shared" si="15"/>
        <v>5231</v>
      </c>
    </row>
    <row r="198" spans="1:7" x14ac:dyDescent="0.2">
      <c r="A198" s="97">
        <v>196</v>
      </c>
      <c r="B198" s="101">
        <v>1090</v>
      </c>
      <c r="D198" s="97">
        <f t="shared" si="12"/>
        <v>196</v>
      </c>
      <c r="E198" s="97">
        <f t="shared" si="13"/>
        <v>202</v>
      </c>
      <c r="F198" s="97">
        <f t="shared" si="14"/>
        <v>11831</v>
      </c>
      <c r="G198" s="97">
        <f t="shared" si="15"/>
        <v>6831</v>
      </c>
    </row>
    <row r="199" spans="1:7" x14ac:dyDescent="0.2">
      <c r="A199" s="97">
        <v>197</v>
      </c>
      <c r="B199" s="101">
        <v>0</v>
      </c>
      <c r="D199" s="97">
        <f t="shared" si="12"/>
        <v>197</v>
      </c>
      <c r="E199" s="97">
        <f t="shared" si="13"/>
        <v>203</v>
      </c>
      <c r="F199" s="97">
        <f t="shared" si="14"/>
        <v>12075</v>
      </c>
      <c r="G199" s="97">
        <f t="shared" si="15"/>
        <v>7075</v>
      </c>
    </row>
    <row r="200" spans="1:7" x14ac:dyDescent="0.2">
      <c r="A200" s="97">
        <v>198</v>
      </c>
      <c r="B200" s="101">
        <v>1813</v>
      </c>
      <c r="D200" s="97">
        <f t="shared" si="12"/>
        <v>198</v>
      </c>
      <c r="E200" s="97">
        <f t="shared" si="13"/>
        <v>204</v>
      </c>
      <c r="F200" s="97">
        <f t="shared" si="14"/>
        <v>13573</v>
      </c>
      <c r="G200" s="97">
        <f t="shared" si="15"/>
        <v>8573</v>
      </c>
    </row>
    <row r="201" spans="1:7" x14ac:dyDescent="0.2">
      <c r="A201" s="97">
        <v>199</v>
      </c>
      <c r="B201" s="101">
        <v>2854</v>
      </c>
      <c r="D201" s="97">
        <f t="shared" si="12"/>
        <v>199</v>
      </c>
      <c r="E201" s="97">
        <f t="shared" si="13"/>
        <v>205</v>
      </c>
      <c r="F201" s="97">
        <f t="shared" si="14"/>
        <v>14244</v>
      </c>
      <c r="G201" s="97">
        <f t="shared" si="15"/>
        <v>9244</v>
      </c>
    </row>
    <row r="202" spans="1:7" x14ac:dyDescent="0.2">
      <c r="A202" s="97">
        <v>200</v>
      </c>
      <c r="B202" s="101">
        <v>1434</v>
      </c>
      <c r="D202" s="97">
        <f t="shared" si="12"/>
        <v>200</v>
      </c>
      <c r="E202" s="97">
        <f t="shared" si="13"/>
        <v>206</v>
      </c>
      <c r="F202" s="97">
        <f t="shared" si="14"/>
        <v>12474</v>
      </c>
      <c r="G202" s="97">
        <f t="shared" si="15"/>
        <v>7474</v>
      </c>
    </row>
    <row r="203" spans="1:7" x14ac:dyDescent="0.2">
      <c r="A203" s="97">
        <v>201</v>
      </c>
      <c r="B203" s="101">
        <v>1849</v>
      </c>
      <c r="D203" s="97">
        <f t="shared" si="12"/>
        <v>201</v>
      </c>
      <c r="E203" s="97">
        <f t="shared" si="13"/>
        <v>207</v>
      </c>
      <c r="F203" s="97">
        <f t="shared" si="14"/>
        <v>13661</v>
      </c>
      <c r="G203" s="97">
        <f t="shared" si="15"/>
        <v>8661</v>
      </c>
    </row>
    <row r="204" spans="1:7" x14ac:dyDescent="0.2">
      <c r="A204" s="97">
        <v>202</v>
      </c>
      <c r="B204" s="101">
        <v>2791</v>
      </c>
      <c r="D204" s="97">
        <f t="shared" si="12"/>
        <v>202</v>
      </c>
      <c r="E204" s="97">
        <f t="shared" si="13"/>
        <v>208</v>
      </c>
      <c r="F204" s="97">
        <f t="shared" si="14"/>
        <v>12682</v>
      </c>
      <c r="G204" s="97">
        <f t="shared" si="15"/>
        <v>7682</v>
      </c>
    </row>
    <row r="205" spans="1:7" x14ac:dyDescent="0.2">
      <c r="A205" s="97">
        <v>203</v>
      </c>
      <c r="B205" s="101">
        <v>1334</v>
      </c>
      <c r="D205" s="97">
        <f t="shared" si="12"/>
        <v>203</v>
      </c>
      <c r="E205" s="97">
        <f t="shared" si="13"/>
        <v>209</v>
      </c>
      <c r="F205" s="97">
        <f t="shared" si="14"/>
        <v>13155</v>
      </c>
      <c r="G205" s="97">
        <f t="shared" si="15"/>
        <v>8155</v>
      </c>
    </row>
    <row r="206" spans="1:7" x14ac:dyDescent="0.2">
      <c r="A206" s="97">
        <v>204</v>
      </c>
      <c r="B206" s="101">
        <v>1498</v>
      </c>
      <c r="D206" s="97">
        <f t="shared" si="12"/>
        <v>204</v>
      </c>
      <c r="E206" s="97">
        <f t="shared" si="13"/>
        <v>210</v>
      </c>
      <c r="F206" s="97">
        <f t="shared" si="14"/>
        <v>13146</v>
      </c>
      <c r="G206" s="97">
        <f t="shared" si="15"/>
        <v>8146</v>
      </c>
    </row>
    <row r="207" spans="1:7" x14ac:dyDescent="0.2">
      <c r="A207" s="97">
        <v>205</v>
      </c>
      <c r="B207" s="101">
        <v>2484</v>
      </c>
      <c r="D207" s="97">
        <f t="shared" si="12"/>
        <v>205</v>
      </c>
      <c r="E207" s="97">
        <f t="shared" si="13"/>
        <v>211</v>
      </c>
      <c r="F207" s="97">
        <f t="shared" si="14"/>
        <v>12009</v>
      </c>
      <c r="G207" s="97">
        <f t="shared" si="15"/>
        <v>7009</v>
      </c>
    </row>
    <row r="208" spans="1:7" x14ac:dyDescent="0.2">
      <c r="A208" s="97">
        <v>206</v>
      </c>
      <c r="B208" s="101">
        <v>1084</v>
      </c>
      <c r="D208" s="97">
        <f t="shared" si="12"/>
        <v>206</v>
      </c>
      <c r="E208" s="97">
        <f t="shared" si="13"/>
        <v>212</v>
      </c>
      <c r="F208" s="97">
        <f t="shared" si="14"/>
        <v>11600</v>
      </c>
      <c r="G208" s="97">
        <f t="shared" si="15"/>
        <v>6600</v>
      </c>
    </row>
    <row r="209" spans="1:7" x14ac:dyDescent="0.2">
      <c r="A209" s="97">
        <v>207</v>
      </c>
      <c r="B209" s="101">
        <v>2621</v>
      </c>
      <c r="D209" s="97">
        <f t="shared" si="12"/>
        <v>207</v>
      </c>
      <c r="E209" s="97">
        <f t="shared" si="13"/>
        <v>213</v>
      </c>
      <c r="F209" s="97">
        <f t="shared" si="14"/>
        <v>10809</v>
      </c>
      <c r="G209" s="97">
        <f t="shared" si="15"/>
        <v>5809</v>
      </c>
    </row>
    <row r="210" spans="1:7" x14ac:dyDescent="0.2">
      <c r="A210" s="97">
        <v>208</v>
      </c>
      <c r="B210" s="101">
        <v>870</v>
      </c>
      <c r="D210" s="97">
        <f t="shared" si="12"/>
        <v>208</v>
      </c>
      <c r="E210" s="97">
        <f t="shared" si="13"/>
        <v>214</v>
      </c>
      <c r="F210" s="97">
        <f t="shared" si="14"/>
        <v>8951</v>
      </c>
      <c r="G210" s="97">
        <f t="shared" si="15"/>
        <v>3951</v>
      </c>
    </row>
    <row r="211" spans="1:7" x14ac:dyDescent="0.2">
      <c r="A211" s="97">
        <v>209</v>
      </c>
      <c r="B211" s="101">
        <v>3264</v>
      </c>
      <c r="D211" s="97">
        <f t="shared" si="12"/>
        <v>209</v>
      </c>
      <c r="E211" s="97">
        <f t="shared" si="13"/>
        <v>215</v>
      </c>
      <c r="F211" s="97">
        <f t="shared" si="14"/>
        <v>9964</v>
      </c>
      <c r="G211" s="97">
        <f t="shared" si="15"/>
        <v>4964</v>
      </c>
    </row>
    <row r="212" spans="1:7" x14ac:dyDescent="0.2">
      <c r="A212" s="97">
        <v>210</v>
      </c>
      <c r="B212" s="101">
        <v>1325</v>
      </c>
      <c r="D212" s="97">
        <f t="shared" si="12"/>
        <v>210</v>
      </c>
      <c r="E212" s="97">
        <f t="shared" si="13"/>
        <v>216</v>
      </c>
      <c r="F212" s="97">
        <f t="shared" si="14"/>
        <v>8410</v>
      </c>
      <c r="G212" s="97">
        <f t="shared" si="15"/>
        <v>3410</v>
      </c>
    </row>
    <row r="213" spans="1:7" x14ac:dyDescent="0.2">
      <c r="A213" s="97">
        <v>211</v>
      </c>
      <c r="B213" s="101">
        <v>361</v>
      </c>
      <c r="D213" s="97">
        <f t="shared" si="12"/>
        <v>211</v>
      </c>
      <c r="E213" s="97">
        <f t="shared" si="13"/>
        <v>217</v>
      </c>
      <c r="F213" s="97">
        <f t="shared" si="14"/>
        <v>7085</v>
      </c>
      <c r="G213" s="97">
        <f t="shared" si="15"/>
        <v>2085</v>
      </c>
    </row>
    <row r="214" spans="1:7" x14ac:dyDescent="0.2">
      <c r="A214" s="97">
        <v>212</v>
      </c>
      <c r="B214" s="101">
        <v>2075</v>
      </c>
      <c r="D214" s="97">
        <f t="shared" si="12"/>
        <v>212</v>
      </c>
      <c r="E214" s="97">
        <f t="shared" si="13"/>
        <v>218</v>
      </c>
      <c r="F214" s="97">
        <f t="shared" si="14"/>
        <v>9288</v>
      </c>
      <c r="G214" s="97">
        <f t="shared" si="15"/>
        <v>4288</v>
      </c>
    </row>
    <row r="215" spans="1:7" x14ac:dyDescent="0.2">
      <c r="A215" s="97">
        <v>213</v>
      </c>
      <c r="B215" s="101">
        <v>293</v>
      </c>
      <c r="D215" s="97">
        <f t="shared" si="12"/>
        <v>213</v>
      </c>
      <c r="E215" s="97">
        <f t="shared" si="13"/>
        <v>219</v>
      </c>
      <c r="F215" s="97">
        <f t="shared" si="14"/>
        <v>8876</v>
      </c>
      <c r="G215" s="97">
        <f t="shared" si="15"/>
        <v>3876</v>
      </c>
    </row>
    <row r="216" spans="1:7" x14ac:dyDescent="0.2">
      <c r="A216" s="97">
        <v>214</v>
      </c>
      <c r="B216" s="101">
        <v>763</v>
      </c>
      <c r="D216" s="97">
        <f t="shared" si="12"/>
        <v>214</v>
      </c>
      <c r="E216" s="97">
        <f t="shared" si="13"/>
        <v>220</v>
      </c>
      <c r="F216" s="97">
        <f t="shared" si="14"/>
        <v>9947</v>
      </c>
      <c r="G216" s="97">
        <f t="shared" si="15"/>
        <v>4947</v>
      </c>
    </row>
    <row r="217" spans="1:7" x14ac:dyDescent="0.2">
      <c r="A217" s="97">
        <v>215</v>
      </c>
      <c r="B217" s="101">
        <v>1883</v>
      </c>
      <c r="D217" s="97">
        <f t="shared" si="12"/>
        <v>215</v>
      </c>
      <c r="E217" s="97">
        <f t="shared" si="13"/>
        <v>221</v>
      </c>
      <c r="F217" s="97">
        <f t="shared" si="14"/>
        <v>11935</v>
      </c>
      <c r="G217" s="97">
        <f t="shared" si="15"/>
        <v>6935</v>
      </c>
    </row>
    <row r="218" spans="1:7" x14ac:dyDescent="0.2">
      <c r="A218" s="97">
        <v>216</v>
      </c>
      <c r="B218" s="101">
        <v>1710</v>
      </c>
      <c r="D218" s="97">
        <f t="shared" si="12"/>
        <v>216</v>
      </c>
      <c r="E218" s="97">
        <f t="shared" si="13"/>
        <v>222</v>
      </c>
      <c r="F218" s="97">
        <f t="shared" si="14"/>
        <v>12072</v>
      </c>
      <c r="G218" s="97">
        <f t="shared" si="15"/>
        <v>7072</v>
      </c>
    </row>
    <row r="219" spans="1:7" x14ac:dyDescent="0.2">
      <c r="A219" s="97">
        <v>217</v>
      </c>
      <c r="B219" s="101">
        <v>0</v>
      </c>
      <c r="D219" s="97">
        <f t="shared" si="12"/>
        <v>217</v>
      </c>
      <c r="E219" s="97">
        <f t="shared" si="13"/>
        <v>223</v>
      </c>
      <c r="F219" s="97">
        <f t="shared" si="14"/>
        <v>12361</v>
      </c>
      <c r="G219" s="97">
        <f t="shared" si="15"/>
        <v>7361</v>
      </c>
    </row>
    <row r="220" spans="1:7" x14ac:dyDescent="0.2">
      <c r="A220" s="97">
        <v>218</v>
      </c>
      <c r="B220" s="101">
        <v>2564</v>
      </c>
      <c r="D220" s="97">
        <f t="shared" si="12"/>
        <v>218</v>
      </c>
      <c r="E220" s="97">
        <f t="shared" si="13"/>
        <v>224</v>
      </c>
      <c r="F220" s="97">
        <f t="shared" si="14"/>
        <v>13821</v>
      </c>
      <c r="G220" s="97">
        <f t="shared" si="15"/>
        <v>8821</v>
      </c>
    </row>
    <row r="221" spans="1:7" x14ac:dyDescent="0.2">
      <c r="A221" s="97">
        <v>219</v>
      </c>
      <c r="B221" s="101">
        <v>1663</v>
      </c>
      <c r="D221" s="97">
        <f t="shared" si="12"/>
        <v>219</v>
      </c>
      <c r="E221" s="97">
        <f t="shared" si="13"/>
        <v>225</v>
      </c>
      <c r="F221" s="97">
        <f t="shared" si="14"/>
        <v>13530</v>
      </c>
      <c r="G221" s="97">
        <f t="shared" si="15"/>
        <v>8530</v>
      </c>
    </row>
    <row r="222" spans="1:7" x14ac:dyDescent="0.2">
      <c r="A222" s="97">
        <v>220</v>
      </c>
      <c r="B222" s="101">
        <v>1364</v>
      </c>
      <c r="D222" s="97">
        <f t="shared" si="12"/>
        <v>220</v>
      </c>
      <c r="E222" s="97">
        <f t="shared" si="13"/>
        <v>226</v>
      </c>
      <c r="F222" s="97">
        <f t="shared" si="14"/>
        <v>14263</v>
      </c>
      <c r="G222" s="97">
        <f t="shared" si="15"/>
        <v>9263</v>
      </c>
    </row>
    <row r="223" spans="1:7" x14ac:dyDescent="0.2">
      <c r="A223" s="97">
        <v>221</v>
      </c>
      <c r="B223" s="101">
        <v>2751</v>
      </c>
      <c r="D223" s="97">
        <f t="shared" si="12"/>
        <v>221</v>
      </c>
      <c r="E223" s="97">
        <f t="shared" si="13"/>
        <v>227</v>
      </c>
      <c r="F223" s="97">
        <f t="shared" si="14"/>
        <v>15339</v>
      </c>
      <c r="G223" s="97">
        <f t="shared" si="15"/>
        <v>10339</v>
      </c>
    </row>
    <row r="224" spans="1:7" x14ac:dyDescent="0.2">
      <c r="A224" s="97">
        <v>222</v>
      </c>
      <c r="B224" s="101">
        <v>2020</v>
      </c>
      <c r="D224" s="97">
        <f t="shared" si="12"/>
        <v>222</v>
      </c>
      <c r="E224" s="97">
        <f t="shared" si="13"/>
        <v>228</v>
      </c>
      <c r="F224" s="97">
        <f t="shared" si="14"/>
        <v>14091</v>
      </c>
      <c r="G224" s="97">
        <f t="shared" si="15"/>
        <v>9091</v>
      </c>
    </row>
    <row r="225" spans="1:7" x14ac:dyDescent="0.2">
      <c r="A225" s="97">
        <v>223</v>
      </c>
      <c r="B225" s="101">
        <v>1999</v>
      </c>
      <c r="D225" s="97">
        <f t="shared" si="12"/>
        <v>223</v>
      </c>
      <c r="E225" s="97">
        <f t="shared" si="13"/>
        <v>229</v>
      </c>
      <c r="F225" s="97">
        <f t="shared" si="14"/>
        <v>13985</v>
      </c>
      <c r="G225" s="97">
        <f t="shared" si="15"/>
        <v>8985</v>
      </c>
    </row>
    <row r="226" spans="1:7" x14ac:dyDescent="0.2">
      <c r="A226" s="97">
        <v>224</v>
      </c>
      <c r="B226" s="101">
        <v>1460</v>
      </c>
      <c r="D226" s="97">
        <f t="shared" si="12"/>
        <v>224</v>
      </c>
      <c r="E226" s="97">
        <f t="shared" si="13"/>
        <v>230</v>
      </c>
      <c r="F226" s="97">
        <f t="shared" si="14"/>
        <v>14134</v>
      </c>
      <c r="G226" s="97">
        <f t="shared" si="15"/>
        <v>9134</v>
      </c>
    </row>
    <row r="227" spans="1:7" x14ac:dyDescent="0.2">
      <c r="A227" s="97">
        <v>225</v>
      </c>
      <c r="B227" s="101">
        <v>2273</v>
      </c>
      <c r="D227" s="97">
        <f t="shared" si="12"/>
        <v>225</v>
      </c>
      <c r="E227" s="97">
        <f t="shared" si="13"/>
        <v>231</v>
      </c>
      <c r="F227" s="97">
        <f t="shared" si="14"/>
        <v>14042</v>
      </c>
      <c r="G227" s="97">
        <f t="shared" si="15"/>
        <v>9042</v>
      </c>
    </row>
    <row r="228" spans="1:7" x14ac:dyDescent="0.2">
      <c r="A228" s="97">
        <v>226</v>
      </c>
      <c r="B228" s="101">
        <v>2396</v>
      </c>
      <c r="D228" s="97">
        <f t="shared" si="12"/>
        <v>226</v>
      </c>
      <c r="E228" s="97">
        <f t="shared" si="13"/>
        <v>232</v>
      </c>
      <c r="F228" s="97">
        <f t="shared" si="14"/>
        <v>14008</v>
      </c>
      <c r="G228" s="97">
        <f t="shared" si="15"/>
        <v>9008</v>
      </c>
    </row>
    <row r="229" spans="1:7" x14ac:dyDescent="0.2">
      <c r="A229" s="97">
        <v>227</v>
      </c>
      <c r="B229" s="101">
        <v>2440</v>
      </c>
      <c r="D229" s="97">
        <f t="shared" si="12"/>
        <v>227</v>
      </c>
      <c r="E229" s="97">
        <f t="shared" si="13"/>
        <v>233</v>
      </c>
      <c r="F229" s="97">
        <f t="shared" si="14"/>
        <v>13350</v>
      </c>
      <c r="G229" s="97">
        <f t="shared" si="15"/>
        <v>8350</v>
      </c>
    </row>
    <row r="230" spans="1:7" x14ac:dyDescent="0.2">
      <c r="A230" s="97">
        <v>228</v>
      </c>
      <c r="B230" s="101">
        <v>1503</v>
      </c>
      <c r="D230" s="97">
        <f t="shared" si="12"/>
        <v>228</v>
      </c>
      <c r="E230" s="97">
        <f t="shared" si="13"/>
        <v>234</v>
      </c>
      <c r="F230" s="97">
        <f t="shared" si="14"/>
        <v>12828</v>
      </c>
      <c r="G230" s="97">
        <f t="shared" si="15"/>
        <v>7828</v>
      </c>
    </row>
    <row r="231" spans="1:7" x14ac:dyDescent="0.2">
      <c r="A231" s="97">
        <v>229</v>
      </c>
      <c r="B231" s="101">
        <v>1914</v>
      </c>
      <c r="D231" s="97">
        <f t="shared" si="12"/>
        <v>229</v>
      </c>
      <c r="E231" s="97">
        <f t="shared" si="13"/>
        <v>235</v>
      </c>
      <c r="F231" s="97">
        <f t="shared" si="14"/>
        <v>12876</v>
      </c>
      <c r="G231" s="97">
        <f t="shared" si="15"/>
        <v>7876</v>
      </c>
    </row>
    <row r="232" spans="1:7" x14ac:dyDescent="0.2">
      <c r="A232" s="97">
        <v>230</v>
      </c>
      <c r="B232" s="101">
        <v>2148</v>
      </c>
      <c r="D232" s="97">
        <f t="shared" si="12"/>
        <v>230</v>
      </c>
      <c r="E232" s="97">
        <f t="shared" si="13"/>
        <v>236</v>
      </c>
      <c r="F232" s="97">
        <f t="shared" si="14"/>
        <v>12023</v>
      </c>
      <c r="G232" s="97">
        <f t="shared" si="15"/>
        <v>7023</v>
      </c>
    </row>
    <row r="233" spans="1:7" x14ac:dyDescent="0.2">
      <c r="A233" s="97">
        <v>231</v>
      </c>
      <c r="B233" s="101">
        <v>1368</v>
      </c>
      <c r="D233" s="97">
        <f t="shared" si="12"/>
        <v>231</v>
      </c>
      <c r="E233" s="97">
        <f t="shared" si="13"/>
        <v>237</v>
      </c>
      <c r="F233" s="97">
        <f t="shared" si="14"/>
        <v>11614</v>
      </c>
      <c r="G233" s="97">
        <f t="shared" si="15"/>
        <v>6614</v>
      </c>
    </row>
    <row r="234" spans="1:7" x14ac:dyDescent="0.2">
      <c r="A234" s="97">
        <v>232</v>
      </c>
      <c r="B234" s="101">
        <v>2239</v>
      </c>
      <c r="D234" s="97">
        <f t="shared" si="12"/>
        <v>232</v>
      </c>
      <c r="E234" s="97">
        <f t="shared" si="13"/>
        <v>238</v>
      </c>
      <c r="F234" s="97">
        <f t="shared" si="14"/>
        <v>11165</v>
      </c>
      <c r="G234" s="97">
        <f t="shared" si="15"/>
        <v>6165</v>
      </c>
    </row>
    <row r="235" spans="1:7" x14ac:dyDescent="0.2">
      <c r="A235" s="97">
        <v>233</v>
      </c>
      <c r="B235" s="101">
        <v>1738</v>
      </c>
      <c r="D235" s="97">
        <f t="shared" si="12"/>
        <v>233</v>
      </c>
      <c r="E235" s="97">
        <f t="shared" si="13"/>
        <v>239</v>
      </c>
      <c r="F235" s="97">
        <f t="shared" si="14"/>
        <v>11320</v>
      </c>
      <c r="G235" s="97">
        <f t="shared" si="15"/>
        <v>6320</v>
      </c>
    </row>
    <row r="236" spans="1:7" x14ac:dyDescent="0.2">
      <c r="A236" s="97">
        <v>234</v>
      </c>
      <c r="B236" s="101">
        <v>1918</v>
      </c>
      <c r="D236" s="97">
        <f t="shared" si="12"/>
        <v>234</v>
      </c>
      <c r="E236" s="97">
        <f t="shared" si="13"/>
        <v>240</v>
      </c>
      <c r="F236" s="97">
        <f t="shared" si="14"/>
        <v>13092</v>
      </c>
      <c r="G236" s="97">
        <f t="shared" si="15"/>
        <v>8092</v>
      </c>
    </row>
    <row r="237" spans="1:7" x14ac:dyDescent="0.2">
      <c r="A237" s="97">
        <v>235</v>
      </c>
      <c r="B237" s="101">
        <v>1551</v>
      </c>
      <c r="D237" s="97">
        <f t="shared" si="12"/>
        <v>235</v>
      </c>
      <c r="E237" s="97">
        <f t="shared" si="13"/>
        <v>241</v>
      </c>
      <c r="F237" s="97">
        <f t="shared" si="14"/>
        <v>11958</v>
      </c>
      <c r="G237" s="97">
        <f t="shared" si="15"/>
        <v>6958</v>
      </c>
    </row>
    <row r="238" spans="1:7" x14ac:dyDescent="0.2">
      <c r="A238" s="97">
        <v>236</v>
      </c>
      <c r="B238" s="101">
        <v>1061</v>
      </c>
      <c r="D238" s="97">
        <f t="shared" si="12"/>
        <v>236</v>
      </c>
      <c r="E238" s="97">
        <f t="shared" si="13"/>
        <v>242</v>
      </c>
      <c r="F238" s="97">
        <f t="shared" si="14"/>
        <v>12747</v>
      </c>
      <c r="G238" s="97">
        <f t="shared" si="15"/>
        <v>7747</v>
      </c>
    </row>
    <row r="239" spans="1:7" x14ac:dyDescent="0.2">
      <c r="A239" s="97">
        <v>237</v>
      </c>
      <c r="B239" s="101">
        <v>1739</v>
      </c>
      <c r="D239" s="97">
        <f t="shared" si="12"/>
        <v>237</v>
      </c>
      <c r="E239" s="97">
        <f t="shared" si="13"/>
        <v>243</v>
      </c>
      <c r="F239" s="97">
        <f t="shared" si="14"/>
        <v>14099</v>
      </c>
      <c r="G239" s="97">
        <f t="shared" si="15"/>
        <v>9099</v>
      </c>
    </row>
    <row r="240" spans="1:7" x14ac:dyDescent="0.2">
      <c r="A240" s="97">
        <v>238</v>
      </c>
      <c r="B240" s="101">
        <v>919</v>
      </c>
      <c r="D240" s="97">
        <f t="shared" si="12"/>
        <v>238</v>
      </c>
      <c r="E240" s="97">
        <f t="shared" si="13"/>
        <v>244</v>
      </c>
      <c r="F240" s="97">
        <f t="shared" si="14"/>
        <v>12360</v>
      </c>
      <c r="G240" s="97">
        <f t="shared" si="15"/>
        <v>7360</v>
      </c>
    </row>
    <row r="241" spans="1:7" x14ac:dyDescent="0.2">
      <c r="A241" s="97">
        <v>239</v>
      </c>
      <c r="B241" s="101">
        <v>2394</v>
      </c>
      <c r="D241" s="97">
        <f t="shared" si="12"/>
        <v>239</v>
      </c>
      <c r="E241" s="97">
        <f t="shared" si="13"/>
        <v>245</v>
      </c>
      <c r="F241" s="97">
        <f t="shared" si="14"/>
        <v>12482</v>
      </c>
      <c r="G241" s="97">
        <f t="shared" si="15"/>
        <v>7482</v>
      </c>
    </row>
    <row r="242" spans="1:7" x14ac:dyDescent="0.2">
      <c r="A242" s="97">
        <v>240</v>
      </c>
      <c r="B242" s="101">
        <v>3510</v>
      </c>
      <c r="D242" s="97">
        <f t="shared" si="12"/>
        <v>240</v>
      </c>
      <c r="E242" s="97">
        <f t="shared" si="13"/>
        <v>246</v>
      </c>
      <c r="F242" s="97">
        <f t="shared" si="14"/>
        <v>12569</v>
      </c>
      <c r="G242" s="97">
        <f t="shared" si="15"/>
        <v>7569</v>
      </c>
    </row>
    <row r="243" spans="1:7" x14ac:dyDescent="0.2">
      <c r="A243" s="97">
        <v>241</v>
      </c>
      <c r="B243" s="101">
        <v>784</v>
      </c>
      <c r="D243" s="97">
        <f t="shared" si="12"/>
        <v>241</v>
      </c>
      <c r="E243" s="97">
        <f t="shared" si="13"/>
        <v>247</v>
      </c>
      <c r="F243" s="97">
        <f t="shared" si="14"/>
        <v>10454</v>
      </c>
      <c r="G243" s="97">
        <f t="shared" si="15"/>
        <v>5454</v>
      </c>
    </row>
    <row r="244" spans="1:7" x14ac:dyDescent="0.2">
      <c r="A244" s="97">
        <v>242</v>
      </c>
      <c r="B244" s="101">
        <v>2340</v>
      </c>
      <c r="D244" s="97">
        <f t="shared" si="12"/>
        <v>242</v>
      </c>
      <c r="E244" s="97">
        <f t="shared" si="13"/>
        <v>248</v>
      </c>
      <c r="F244" s="97">
        <f t="shared" si="14"/>
        <v>11520</v>
      </c>
      <c r="G244" s="97">
        <f t="shared" si="15"/>
        <v>6520</v>
      </c>
    </row>
    <row r="245" spans="1:7" x14ac:dyDescent="0.2">
      <c r="A245" s="97">
        <v>243</v>
      </c>
      <c r="B245" s="101">
        <v>2413</v>
      </c>
      <c r="D245" s="97">
        <f t="shared" si="12"/>
        <v>243</v>
      </c>
      <c r="E245" s="97">
        <f t="shared" si="13"/>
        <v>249</v>
      </c>
      <c r="F245" s="97">
        <f t="shared" si="14"/>
        <v>10955</v>
      </c>
      <c r="G245" s="97">
        <f t="shared" si="15"/>
        <v>5955</v>
      </c>
    </row>
    <row r="246" spans="1:7" x14ac:dyDescent="0.2">
      <c r="A246" s="97">
        <v>244</v>
      </c>
      <c r="B246" s="101">
        <v>0</v>
      </c>
      <c r="D246" s="97">
        <f t="shared" si="12"/>
        <v>244</v>
      </c>
      <c r="E246" s="97">
        <f t="shared" si="13"/>
        <v>250</v>
      </c>
      <c r="F246" s="97">
        <f t="shared" si="14"/>
        <v>10485</v>
      </c>
      <c r="G246" s="97">
        <f t="shared" si="15"/>
        <v>5485</v>
      </c>
    </row>
    <row r="247" spans="1:7" x14ac:dyDescent="0.2">
      <c r="A247" s="97">
        <v>245</v>
      </c>
      <c r="B247" s="101">
        <v>1041</v>
      </c>
      <c r="D247" s="97">
        <f t="shared" si="12"/>
        <v>245</v>
      </c>
      <c r="E247" s="97">
        <f t="shared" si="13"/>
        <v>251</v>
      </c>
      <c r="F247" s="97">
        <f t="shared" si="14"/>
        <v>12644</v>
      </c>
      <c r="G247" s="97">
        <f t="shared" si="15"/>
        <v>7644</v>
      </c>
    </row>
    <row r="248" spans="1:7" x14ac:dyDescent="0.2">
      <c r="A248" s="97">
        <v>246</v>
      </c>
      <c r="B248" s="101">
        <v>2481</v>
      </c>
      <c r="D248" s="97">
        <f t="shared" si="12"/>
        <v>246</v>
      </c>
      <c r="E248" s="97">
        <f t="shared" si="13"/>
        <v>252</v>
      </c>
      <c r="F248" s="97">
        <f t="shared" si="14"/>
        <v>12297</v>
      </c>
      <c r="G248" s="97">
        <f t="shared" si="15"/>
        <v>7297</v>
      </c>
    </row>
    <row r="249" spans="1:7" x14ac:dyDescent="0.2">
      <c r="A249" s="97">
        <v>247</v>
      </c>
      <c r="B249" s="101">
        <v>1395</v>
      </c>
      <c r="D249" s="97">
        <f t="shared" si="12"/>
        <v>247</v>
      </c>
      <c r="E249" s="97">
        <f t="shared" si="13"/>
        <v>253</v>
      </c>
      <c r="F249" s="97">
        <f t="shared" si="14"/>
        <v>11659</v>
      </c>
      <c r="G249" s="97">
        <f t="shared" si="15"/>
        <v>6659</v>
      </c>
    </row>
    <row r="250" spans="1:7" x14ac:dyDescent="0.2">
      <c r="A250" s="97">
        <v>248</v>
      </c>
      <c r="B250" s="101">
        <v>1850</v>
      </c>
      <c r="D250" s="97">
        <f t="shared" si="12"/>
        <v>248</v>
      </c>
      <c r="E250" s="97">
        <f t="shared" si="13"/>
        <v>254</v>
      </c>
      <c r="F250" s="97">
        <f t="shared" si="14"/>
        <v>13120</v>
      </c>
      <c r="G250" s="97">
        <f t="shared" si="15"/>
        <v>8120</v>
      </c>
    </row>
    <row r="251" spans="1:7" x14ac:dyDescent="0.2">
      <c r="A251" s="97">
        <v>249</v>
      </c>
      <c r="B251" s="101">
        <v>1775</v>
      </c>
      <c r="D251" s="97">
        <f t="shared" si="12"/>
        <v>249</v>
      </c>
      <c r="E251" s="97">
        <f t="shared" si="13"/>
        <v>255</v>
      </c>
      <c r="F251" s="97">
        <f t="shared" si="14"/>
        <v>12234</v>
      </c>
      <c r="G251" s="97">
        <f t="shared" si="15"/>
        <v>7234</v>
      </c>
    </row>
    <row r="252" spans="1:7" x14ac:dyDescent="0.2">
      <c r="A252" s="97">
        <v>250</v>
      </c>
      <c r="B252" s="101">
        <v>1943</v>
      </c>
      <c r="D252" s="97">
        <f t="shared" si="12"/>
        <v>250</v>
      </c>
      <c r="E252" s="97">
        <f t="shared" si="13"/>
        <v>256</v>
      </c>
      <c r="F252" s="97">
        <f t="shared" si="14"/>
        <v>13224</v>
      </c>
      <c r="G252" s="97">
        <f t="shared" si="15"/>
        <v>8224</v>
      </c>
    </row>
    <row r="253" spans="1:7" x14ac:dyDescent="0.2">
      <c r="A253" s="97">
        <v>251</v>
      </c>
      <c r="B253" s="101">
        <v>2159</v>
      </c>
      <c r="D253" s="97">
        <f t="shared" si="12"/>
        <v>251</v>
      </c>
      <c r="E253" s="97">
        <f t="shared" si="13"/>
        <v>257</v>
      </c>
      <c r="F253" s="97">
        <f t="shared" si="14"/>
        <v>13540</v>
      </c>
      <c r="G253" s="97">
        <f t="shared" si="15"/>
        <v>8540</v>
      </c>
    </row>
    <row r="254" spans="1:7" x14ac:dyDescent="0.2">
      <c r="A254" s="97">
        <v>252</v>
      </c>
      <c r="B254" s="101">
        <v>694</v>
      </c>
      <c r="D254" s="97">
        <f t="shared" si="12"/>
        <v>252</v>
      </c>
      <c r="E254" s="97">
        <f t="shared" si="13"/>
        <v>258</v>
      </c>
      <c r="F254" s="97">
        <f t="shared" si="14"/>
        <v>13751</v>
      </c>
      <c r="G254" s="97">
        <f t="shared" si="15"/>
        <v>8751</v>
      </c>
    </row>
    <row r="255" spans="1:7" x14ac:dyDescent="0.2">
      <c r="A255" s="97">
        <v>253</v>
      </c>
      <c r="B255" s="101">
        <v>1843</v>
      </c>
      <c r="D255" s="97">
        <f t="shared" si="12"/>
        <v>253</v>
      </c>
      <c r="E255" s="97">
        <f t="shared" si="13"/>
        <v>259</v>
      </c>
      <c r="F255" s="97">
        <f t="shared" si="14"/>
        <v>13655</v>
      </c>
      <c r="G255" s="97">
        <f t="shared" si="15"/>
        <v>8655</v>
      </c>
    </row>
    <row r="256" spans="1:7" x14ac:dyDescent="0.2">
      <c r="A256" s="97">
        <v>254</v>
      </c>
      <c r="B256" s="101">
        <v>2856</v>
      </c>
      <c r="D256" s="97">
        <f t="shared" si="12"/>
        <v>254</v>
      </c>
      <c r="E256" s="97">
        <f t="shared" si="13"/>
        <v>260</v>
      </c>
      <c r="F256" s="97">
        <f t="shared" si="14"/>
        <v>13348</v>
      </c>
      <c r="G256" s="97">
        <f t="shared" si="15"/>
        <v>8348</v>
      </c>
    </row>
    <row r="257" spans="1:7" x14ac:dyDescent="0.2">
      <c r="A257" s="97">
        <v>255</v>
      </c>
      <c r="B257" s="101">
        <v>964</v>
      </c>
      <c r="D257" s="97">
        <f t="shared" si="12"/>
        <v>255</v>
      </c>
      <c r="E257" s="97">
        <f t="shared" si="13"/>
        <v>261</v>
      </c>
      <c r="F257" s="97">
        <f t="shared" si="14"/>
        <v>12486</v>
      </c>
      <c r="G257" s="97">
        <f t="shared" si="15"/>
        <v>7486</v>
      </c>
    </row>
    <row r="258" spans="1:7" x14ac:dyDescent="0.2">
      <c r="A258" s="97">
        <v>256</v>
      </c>
      <c r="B258" s="101">
        <v>2765</v>
      </c>
      <c r="D258" s="97">
        <f t="shared" si="12"/>
        <v>256</v>
      </c>
      <c r="E258" s="97">
        <f t="shared" si="13"/>
        <v>262</v>
      </c>
      <c r="F258" s="97">
        <f t="shared" si="14"/>
        <v>13241</v>
      </c>
      <c r="G258" s="97">
        <f t="shared" si="15"/>
        <v>8241</v>
      </c>
    </row>
    <row r="259" spans="1:7" x14ac:dyDescent="0.2">
      <c r="A259" s="97">
        <v>257</v>
      </c>
      <c r="B259" s="101">
        <v>2259</v>
      </c>
      <c r="D259" s="97">
        <f t="shared" si="12"/>
        <v>257</v>
      </c>
      <c r="E259" s="97">
        <f t="shared" si="13"/>
        <v>263</v>
      </c>
      <c r="F259" s="97">
        <f t="shared" si="14"/>
        <v>11514</v>
      </c>
      <c r="G259" s="97">
        <f t="shared" si="15"/>
        <v>6514</v>
      </c>
    </row>
    <row r="260" spans="1:7" x14ac:dyDescent="0.2">
      <c r="A260" s="97">
        <v>258</v>
      </c>
      <c r="B260" s="101">
        <v>2370</v>
      </c>
      <c r="D260" s="97">
        <f t="shared" ref="D260:D323" si="16">A260</f>
        <v>258</v>
      </c>
      <c r="E260" s="97">
        <f t="shared" ref="E260:E323" si="17">A266</f>
        <v>264</v>
      </c>
      <c r="F260" s="97">
        <f t="shared" ref="F260:F323" si="18">SUM(B260:B266)</f>
        <v>9961</v>
      </c>
      <c r="G260" s="97">
        <f t="shared" ref="G260:G323" si="19">MAX(F260-$J$5,0)</f>
        <v>4961</v>
      </c>
    </row>
    <row r="261" spans="1:7" x14ac:dyDescent="0.2">
      <c r="A261" s="97">
        <v>259</v>
      </c>
      <c r="B261" s="101">
        <v>598</v>
      </c>
      <c r="D261" s="97">
        <f t="shared" si="16"/>
        <v>259</v>
      </c>
      <c r="E261" s="97">
        <f t="shared" si="17"/>
        <v>265</v>
      </c>
      <c r="F261" s="97">
        <f t="shared" si="18"/>
        <v>8925</v>
      </c>
      <c r="G261" s="97">
        <f t="shared" si="19"/>
        <v>3925</v>
      </c>
    </row>
    <row r="262" spans="1:7" x14ac:dyDescent="0.2">
      <c r="A262" s="97">
        <v>260</v>
      </c>
      <c r="B262" s="101">
        <v>1536</v>
      </c>
      <c r="D262" s="97">
        <f t="shared" si="16"/>
        <v>260</v>
      </c>
      <c r="E262" s="97">
        <f t="shared" si="17"/>
        <v>266</v>
      </c>
      <c r="F262" s="97">
        <f t="shared" si="18"/>
        <v>10993</v>
      </c>
      <c r="G262" s="97">
        <f t="shared" si="19"/>
        <v>5993</v>
      </c>
    </row>
    <row r="263" spans="1:7" x14ac:dyDescent="0.2">
      <c r="A263" s="97">
        <v>261</v>
      </c>
      <c r="B263" s="101">
        <v>1994</v>
      </c>
      <c r="D263" s="97">
        <f t="shared" si="16"/>
        <v>261</v>
      </c>
      <c r="E263" s="97">
        <f t="shared" si="17"/>
        <v>267</v>
      </c>
      <c r="F263" s="97">
        <f t="shared" si="18"/>
        <v>10956</v>
      </c>
      <c r="G263" s="97">
        <f t="shared" si="19"/>
        <v>5956</v>
      </c>
    </row>
    <row r="264" spans="1:7" x14ac:dyDescent="0.2">
      <c r="A264" s="97">
        <v>262</v>
      </c>
      <c r="B264" s="101">
        <v>1719</v>
      </c>
      <c r="D264" s="97">
        <f t="shared" si="16"/>
        <v>262</v>
      </c>
      <c r="E264" s="97">
        <f t="shared" si="17"/>
        <v>268</v>
      </c>
      <c r="F264" s="97">
        <f t="shared" si="18"/>
        <v>10711</v>
      </c>
      <c r="G264" s="97">
        <f t="shared" si="19"/>
        <v>5711</v>
      </c>
    </row>
    <row r="265" spans="1:7" x14ac:dyDescent="0.2">
      <c r="A265" s="97">
        <v>263</v>
      </c>
      <c r="B265" s="101">
        <v>1038</v>
      </c>
      <c r="D265" s="97">
        <f t="shared" si="16"/>
        <v>263</v>
      </c>
      <c r="E265" s="97">
        <f t="shared" si="17"/>
        <v>269</v>
      </c>
      <c r="F265" s="97">
        <f t="shared" si="18"/>
        <v>11203</v>
      </c>
      <c r="G265" s="97">
        <f t="shared" si="19"/>
        <v>6203</v>
      </c>
    </row>
    <row r="266" spans="1:7" x14ac:dyDescent="0.2">
      <c r="A266" s="97">
        <v>264</v>
      </c>
      <c r="B266" s="101">
        <v>706</v>
      </c>
      <c r="D266" s="97">
        <f t="shared" si="16"/>
        <v>264</v>
      </c>
      <c r="E266" s="97">
        <f t="shared" si="17"/>
        <v>270</v>
      </c>
      <c r="F266" s="97">
        <f t="shared" si="18"/>
        <v>12429</v>
      </c>
      <c r="G266" s="97">
        <f t="shared" si="19"/>
        <v>7429</v>
      </c>
    </row>
    <row r="267" spans="1:7" x14ac:dyDescent="0.2">
      <c r="A267" s="97">
        <v>265</v>
      </c>
      <c r="B267" s="101">
        <v>1334</v>
      </c>
      <c r="D267" s="97">
        <f t="shared" si="16"/>
        <v>265</v>
      </c>
      <c r="E267" s="97">
        <f t="shared" si="17"/>
        <v>271</v>
      </c>
      <c r="F267" s="97">
        <f t="shared" si="18"/>
        <v>14649</v>
      </c>
      <c r="G267" s="97">
        <f t="shared" si="19"/>
        <v>9649</v>
      </c>
    </row>
    <row r="268" spans="1:7" x14ac:dyDescent="0.2">
      <c r="A268" s="97">
        <v>266</v>
      </c>
      <c r="B268" s="101">
        <v>2666</v>
      </c>
      <c r="D268" s="97">
        <f t="shared" si="16"/>
        <v>266</v>
      </c>
      <c r="E268" s="97">
        <f t="shared" si="17"/>
        <v>272</v>
      </c>
      <c r="F268" s="97">
        <f t="shared" si="18"/>
        <v>16189</v>
      </c>
      <c r="G268" s="97">
        <f t="shared" si="19"/>
        <v>11189</v>
      </c>
    </row>
    <row r="269" spans="1:7" x14ac:dyDescent="0.2">
      <c r="A269" s="97">
        <v>267</v>
      </c>
      <c r="B269" s="101">
        <v>1499</v>
      </c>
      <c r="D269" s="97">
        <f t="shared" si="16"/>
        <v>267</v>
      </c>
      <c r="E269" s="97">
        <f t="shared" si="17"/>
        <v>273</v>
      </c>
      <c r="F269" s="97">
        <f t="shared" si="18"/>
        <v>14032</v>
      </c>
      <c r="G269" s="97">
        <f t="shared" si="19"/>
        <v>9032</v>
      </c>
    </row>
    <row r="270" spans="1:7" x14ac:dyDescent="0.2">
      <c r="A270" s="97">
        <v>268</v>
      </c>
      <c r="B270" s="101">
        <v>1749</v>
      </c>
      <c r="D270" s="97">
        <f t="shared" si="16"/>
        <v>268</v>
      </c>
      <c r="E270" s="97">
        <f t="shared" si="17"/>
        <v>274</v>
      </c>
      <c r="F270" s="97">
        <f t="shared" si="18"/>
        <v>14323</v>
      </c>
      <c r="G270" s="97">
        <f t="shared" si="19"/>
        <v>9323</v>
      </c>
    </row>
    <row r="271" spans="1:7" x14ac:dyDescent="0.2">
      <c r="A271" s="97">
        <v>269</v>
      </c>
      <c r="B271" s="101">
        <v>2211</v>
      </c>
      <c r="D271" s="97">
        <f t="shared" si="16"/>
        <v>269</v>
      </c>
      <c r="E271" s="97">
        <f t="shared" si="17"/>
        <v>275</v>
      </c>
      <c r="F271" s="97">
        <f t="shared" si="18"/>
        <v>14477</v>
      </c>
      <c r="G271" s="97">
        <f t="shared" si="19"/>
        <v>9477</v>
      </c>
    </row>
    <row r="272" spans="1:7" x14ac:dyDescent="0.2">
      <c r="A272" s="97">
        <v>270</v>
      </c>
      <c r="B272" s="101">
        <v>2264</v>
      </c>
      <c r="D272" s="97">
        <f t="shared" si="16"/>
        <v>270</v>
      </c>
      <c r="E272" s="97">
        <f t="shared" si="17"/>
        <v>276</v>
      </c>
      <c r="F272" s="97">
        <f t="shared" si="18"/>
        <v>14152</v>
      </c>
      <c r="G272" s="97">
        <f t="shared" si="19"/>
        <v>9152</v>
      </c>
    </row>
    <row r="273" spans="1:7" x14ac:dyDescent="0.2">
      <c r="A273" s="97">
        <v>271</v>
      </c>
      <c r="B273" s="101">
        <v>2926</v>
      </c>
      <c r="D273" s="97">
        <f t="shared" si="16"/>
        <v>271</v>
      </c>
      <c r="E273" s="97">
        <f t="shared" si="17"/>
        <v>277</v>
      </c>
      <c r="F273" s="97">
        <f t="shared" si="18"/>
        <v>12933</v>
      </c>
      <c r="G273" s="97">
        <f t="shared" si="19"/>
        <v>7933</v>
      </c>
    </row>
    <row r="274" spans="1:7" x14ac:dyDescent="0.2">
      <c r="A274" s="97">
        <v>272</v>
      </c>
      <c r="B274" s="101">
        <v>2874</v>
      </c>
      <c r="D274" s="97">
        <f t="shared" si="16"/>
        <v>272</v>
      </c>
      <c r="E274" s="97">
        <f t="shared" si="17"/>
        <v>278</v>
      </c>
      <c r="F274" s="97">
        <f t="shared" si="18"/>
        <v>11768</v>
      </c>
      <c r="G274" s="97">
        <f t="shared" si="19"/>
        <v>6768</v>
      </c>
    </row>
    <row r="275" spans="1:7" x14ac:dyDescent="0.2">
      <c r="A275" s="97">
        <v>273</v>
      </c>
      <c r="B275" s="101">
        <v>509</v>
      </c>
      <c r="D275" s="97">
        <f t="shared" si="16"/>
        <v>273</v>
      </c>
      <c r="E275" s="97">
        <f t="shared" si="17"/>
        <v>279</v>
      </c>
      <c r="F275" s="97">
        <f t="shared" si="18"/>
        <v>10748</v>
      </c>
      <c r="G275" s="97">
        <f t="shared" si="19"/>
        <v>5748</v>
      </c>
    </row>
    <row r="276" spans="1:7" x14ac:dyDescent="0.2">
      <c r="A276" s="97">
        <v>274</v>
      </c>
      <c r="B276" s="101">
        <v>1790</v>
      </c>
      <c r="D276" s="97">
        <f t="shared" si="16"/>
        <v>274</v>
      </c>
      <c r="E276" s="97">
        <f t="shared" si="17"/>
        <v>280</v>
      </c>
      <c r="F276" s="97">
        <f t="shared" si="18"/>
        <v>12002</v>
      </c>
      <c r="G276" s="97">
        <f t="shared" si="19"/>
        <v>7002</v>
      </c>
    </row>
    <row r="277" spans="1:7" x14ac:dyDescent="0.2">
      <c r="A277" s="97">
        <v>275</v>
      </c>
      <c r="B277" s="101">
        <v>1903</v>
      </c>
      <c r="D277" s="97">
        <f t="shared" si="16"/>
        <v>275</v>
      </c>
      <c r="E277" s="97">
        <f t="shared" si="17"/>
        <v>281</v>
      </c>
      <c r="F277" s="97">
        <f t="shared" si="18"/>
        <v>11317</v>
      </c>
      <c r="G277" s="97">
        <f t="shared" si="19"/>
        <v>6317</v>
      </c>
    </row>
    <row r="278" spans="1:7" x14ac:dyDescent="0.2">
      <c r="A278" s="97">
        <v>276</v>
      </c>
      <c r="B278" s="101">
        <v>1886</v>
      </c>
      <c r="D278" s="97">
        <f t="shared" si="16"/>
        <v>276</v>
      </c>
      <c r="E278" s="97">
        <f t="shared" si="17"/>
        <v>282</v>
      </c>
      <c r="F278" s="97">
        <f t="shared" si="18"/>
        <v>10204</v>
      </c>
      <c r="G278" s="97">
        <f t="shared" si="19"/>
        <v>5204</v>
      </c>
    </row>
    <row r="279" spans="1:7" x14ac:dyDescent="0.2">
      <c r="A279" s="97">
        <v>277</v>
      </c>
      <c r="B279" s="101">
        <v>1045</v>
      </c>
      <c r="D279" s="97">
        <f t="shared" si="16"/>
        <v>277</v>
      </c>
      <c r="E279" s="97">
        <f t="shared" si="17"/>
        <v>283</v>
      </c>
      <c r="F279" s="97">
        <f t="shared" si="18"/>
        <v>10364</v>
      </c>
      <c r="G279" s="97">
        <f t="shared" si="19"/>
        <v>5364</v>
      </c>
    </row>
    <row r="280" spans="1:7" x14ac:dyDescent="0.2">
      <c r="A280" s="97">
        <v>278</v>
      </c>
      <c r="B280" s="101">
        <v>1761</v>
      </c>
      <c r="D280" s="97">
        <f t="shared" si="16"/>
        <v>278</v>
      </c>
      <c r="E280" s="97">
        <f t="shared" si="17"/>
        <v>284</v>
      </c>
      <c r="F280" s="97">
        <f t="shared" si="18"/>
        <v>11913</v>
      </c>
      <c r="G280" s="97">
        <f t="shared" si="19"/>
        <v>6913</v>
      </c>
    </row>
    <row r="281" spans="1:7" x14ac:dyDescent="0.2">
      <c r="A281" s="97">
        <v>279</v>
      </c>
      <c r="B281" s="101">
        <v>1854</v>
      </c>
      <c r="D281" s="97">
        <f t="shared" si="16"/>
        <v>279</v>
      </c>
      <c r="E281" s="97">
        <f t="shared" si="17"/>
        <v>285</v>
      </c>
      <c r="F281" s="97">
        <f t="shared" si="18"/>
        <v>13221</v>
      </c>
      <c r="G281" s="97">
        <f t="shared" si="19"/>
        <v>8221</v>
      </c>
    </row>
    <row r="282" spans="1:7" x14ac:dyDescent="0.2">
      <c r="A282" s="97">
        <v>280</v>
      </c>
      <c r="B282" s="101">
        <v>1763</v>
      </c>
      <c r="D282" s="97">
        <f t="shared" si="16"/>
        <v>280</v>
      </c>
      <c r="E282" s="97">
        <f t="shared" si="17"/>
        <v>286</v>
      </c>
      <c r="F282" s="97">
        <f t="shared" si="18"/>
        <v>13071</v>
      </c>
      <c r="G282" s="97">
        <f t="shared" si="19"/>
        <v>8071</v>
      </c>
    </row>
    <row r="283" spans="1:7" x14ac:dyDescent="0.2">
      <c r="A283" s="97">
        <v>281</v>
      </c>
      <c r="B283" s="101">
        <v>1105</v>
      </c>
      <c r="D283" s="97">
        <f t="shared" si="16"/>
        <v>281</v>
      </c>
      <c r="E283" s="97">
        <f t="shared" si="17"/>
        <v>287</v>
      </c>
      <c r="F283" s="97">
        <f t="shared" si="18"/>
        <v>13776</v>
      </c>
      <c r="G283" s="97">
        <f t="shared" si="19"/>
        <v>8776</v>
      </c>
    </row>
    <row r="284" spans="1:7" x14ac:dyDescent="0.2">
      <c r="A284" s="97">
        <v>282</v>
      </c>
      <c r="B284" s="101">
        <v>790</v>
      </c>
      <c r="D284" s="97">
        <f t="shared" si="16"/>
        <v>282</v>
      </c>
      <c r="E284" s="97">
        <f t="shared" si="17"/>
        <v>288</v>
      </c>
      <c r="F284" s="97">
        <f t="shared" si="18"/>
        <v>14332</v>
      </c>
      <c r="G284" s="97">
        <f t="shared" si="19"/>
        <v>9332</v>
      </c>
    </row>
    <row r="285" spans="1:7" x14ac:dyDescent="0.2">
      <c r="A285" s="97">
        <v>283</v>
      </c>
      <c r="B285" s="101">
        <v>2046</v>
      </c>
      <c r="D285" s="97">
        <f t="shared" si="16"/>
        <v>283</v>
      </c>
      <c r="E285" s="97">
        <f t="shared" si="17"/>
        <v>289</v>
      </c>
      <c r="F285" s="97">
        <f t="shared" si="18"/>
        <v>15127</v>
      </c>
      <c r="G285" s="97">
        <f t="shared" si="19"/>
        <v>10127</v>
      </c>
    </row>
    <row r="286" spans="1:7" x14ac:dyDescent="0.2">
      <c r="A286" s="97">
        <v>284</v>
      </c>
      <c r="B286" s="101">
        <v>2594</v>
      </c>
      <c r="D286" s="97">
        <f t="shared" si="16"/>
        <v>284</v>
      </c>
      <c r="E286" s="97">
        <f t="shared" si="17"/>
        <v>290</v>
      </c>
      <c r="F286" s="97">
        <f t="shared" si="18"/>
        <v>15242</v>
      </c>
      <c r="G286" s="97">
        <f t="shared" si="19"/>
        <v>10242</v>
      </c>
    </row>
    <row r="287" spans="1:7" x14ac:dyDescent="0.2">
      <c r="A287" s="97">
        <v>285</v>
      </c>
      <c r="B287" s="101">
        <v>3069</v>
      </c>
      <c r="D287" s="97">
        <f t="shared" si="16"/>
        <v>285</v>
      </c>
      <c r="E287" s="97">
        <f t="shared" si="17"/>
        <v>291</v>
      </c>
      <c r="F287" s="97">
        <f t="shared" si="18"/>
        <v>12648</v>
      </c>
      <c r="G287" s="97">
        <f t="shared" si="19"/>
        <v>7648</v>
      </c>
    </row>
    <row r="288" spans="1:7" x14ac:dyDescent="0.2">
      <c r="A288" s="97">
        <v>286</v>
      </c>
      <c r="B288" s="101">
        <v>1704</v>
      </c>
      <c r="D288" s="97">
        <f t="shared" si="16"/>
        <v>286</v>
      </c>
      <c r="E288" s="97">
        <f t="shared" si="17"/>
        <v>292</v>
      </c>
      <c r="F288" s="97">
        <f t="shared" si="18"/>
        <v>12627</v>
      </c>
      <c r="G288" s="97">
        <f t="shared" si="19"/>
        <v>7627</v>
      </c>
    </row>
    <row r="289" spans="1:7" x14ac:dyDescent="0.2">
      <c r="A289" s="97">
        <v>287</v>
      </c>
      <c r="B289" s="101">
        <v>2468</v>
      </c>
      <c r="D289" s="97">
        <f t="shared" si="16"/>
        <v>287</v>
      </c>
      <c r="E289" s="97">
        <f t="shared" si="17"/>
        <v>293</v>
      </c>
      <c r="F289" s="97">
        <f t="shared" si="18"/>
        <v>12062</v>
      </c>
      <c r="G289" s="97">
        <f t="shared" si="19"/>
        <v>7062</v>
      </c>
    </row>
    <row r="290" spans="1:7" x14ac:dyDescent="0.2">
      <c r="A290" s="97">
        <v>288</v>
      </c>
      <c r="B290" s="101">
        <v>1661</v>
      </c>
      <c r="D290" s="97">
        <f t="shared" si="16"/>
        <v>288</v>
      </c>
      <c r="E290" s="97">
        <f t="shared" si="17"/>
        <v>294</v>
      </c>
      <c r="F290" s="97">
        <f t="shared" si="18"/>
        <v>10254</v>
      </c>
      <c r="G290" s="97">
        <f t="shared" si="19"/>
        <v>5254</v>
      </c>
    </row>
    <row r="291" spans="1:7" x14ac:dyDescent="0.2">
      <c r="A291" s="97">
        <v>289</v>
      </c>
      <c r="B291" s="101">
        <v>1585</v>
      </c>
      <c r="D291" s="97">
        <f t="shared" si="16"/>
        <v>289</v>
      </c>
      <c r="E291" s="97">
        <f t="shared" si="17"/>
        <v>295</v>
      </c>
      <c r="F291" s="97">
        <f t="shared" si="18"/>
        <v>10027</v>
      </c>
      <c r="G291" s="97">
        <f t="shared" si="19"/>
        <v>5027</v>
      </c>
    </row>
    <row r="292" spans="1:7" x14ac:dyDescent="0.2">
      <c r="A292" s="97">
        <v>290</v>
      </c>
      <c r="B292" s="101">
        <v>2161</v>
      </c>
      <c r="D292" s="97">
        <f t="shared" si="16"/>
        <v>290</v>
      </c>
      <c r="E292" s="97">
        <f t="shared" si="17"/>
        <v>296</v>
      </c>
      <c r="F292" s="97">
        <f t="shared" si="18"/>
        <v>10030</v>
      </c>
      <c r="G292" s="97">
        <f t="shared" si="19"/>
        <v>5030</v>
      </c>
    </row>
    <row r="293" spans="1:7" x14ac:dyDescent="0.2">
      <c r="A293" s="97">
        <v>291</v>
      </c>
      <c r="B293" s="101">
        <v>0</v>
      </c>
      <c r="D293" s="97">
        <f t="shared" si="16"/>
        <v>291</v>
      </c>
      <c r="E293" s="97">
        <f t="shared" si="17"/>
        <v>297</v>
      </c>
      <c r="F293" s="97">
        <f t="shared" si="18"/>
        <v>9477</v>
      </c>
      <c r="G293" s="97">
        <f t="shared" si="19"/>
        <v>4477</v>
      </c>
    </row>
    <row r="294" spans="1:7" x14ac:dyDescent="0.2">
      <c r="A294" s="97">
        <v>292</v>
      </c>
      <c r="B294" s="101">
        <v>3048</v>
      </c>
      <c r="D294" s="97">
        <f t="shared" si="16"/>
        <v>292</v>
      </c>
      <c r="E294" s="97">
        <f t="shared" si="17"/>
        <v>298</v>
      </c>
      <c r="F294" s="97">
        <f t="shared" si="18"/>
        <v>11050</v>
      </c>
      <c r="G294" s="97">
        <f t="shared" si="19"/>
        <v>6050</v>
      </c>
    </row>
    <row r="295" spans="1:7" x14ac:dyDescent="0.2">
      <c r="A295" s="97">
        <v>293</v>
      </c>
      <c r="B295" s="101">
        <v>1139</v>
      </c>
      <c r="D295" s="97">
        <f t="shared" si="16"/>
        <v>293</v>
      </c>
      <c r="E295" s="97">
        <f t="shared" si="17"/>
        <v>299</v>
      </c>
      <c r="F295" s="97">
        <f t="shared" si="18"/>
        <v>9392</v>
      </c>
      <c r="G295" s="97">
        <f t="shared" si="19"/>
        <v>4392</v>
      </c>
    </row>
    <row r="296" spans="1:7" x14ac:dyDescent="0.2">
      <c r="A296" s="97">
        <v>294</v>
      </c>
      <c r="B296" s="101">
        <v>660</v>
      </c>
      <c r="D296" s="97">
        <f t="shared" si="16"/>
        <v>294</v>
      </c>
      <c r="E296" s="97">
        <f t="shared" si="17"/>
        <v>300</v>
      </c>
      <c r="F296" s="97">
        <f t="shared" si="18"/>
        <v>10823</v>
      </c>
      <c r="G296" s="97">
        <f t="shared" si="19"/>
        <v>5823</v>
      </c>
    </row>
    <row r="297" spans="1:7" x14ac:dyDescent="0.2">
      <c r="A297" s="97">
        <v>295</v>
      </c>
      <c r="B297" s="101">
        <v>1434</v>
      </c>
      <c r="D297" s="97">
        <f t="shared" si="16"/>
        <v>295</v>
      </c>
      <c r="E297" s="97">
        <f t="shared" si="17"/>
        <v>301</v>
      </c>
      <c r="F297" s="97">
        <f t="shared" si="18"/>
        <v>12469</v>
      </c>
      <c r="G297" s="97">
        <f t="shared" si="19"/>
        <v>7469</v>
      </c>
    </row>
    <row r="298" spans="1:7" x14ac:dyDescent="0.2">
      <c r="A298" s="97">
        <v>296</v>
      </c>
      <c r="B298" s="101">
        <v>1588</v>
      </c>
      <c r="D298" s="97">
        <f t="shared" si="16"/>
        <v>296</v>
      </c>
      <c r="E298" s="97">
        <f t="shared" si="17"/>
        <v>302</v>
      </c>
      <c r="F298" s="97">
        <f t="shared" si="18"/>
        <v>11180</v>
      </c>
      <c r="G298" s="97">
        <f t="shared" si="19"/>
        <v>6180</v>
      </c>
    </row>
    <row r="299" spans="1:7" x14ac:dyDescent="0.2">
      <c r="A299" s="97">
        <v>297</v>
      </c>
      <c r="B299" s="101">
        <v>1608</v>
      </c>
      <c r="D299" s="97">
        <f t="shared" si="16"/>
        <v>297</v>
      </c>
      <c r="E299" s="97">
        <f t="shared" si="17"/>
        <v>303</v>
      </c>
      <c r="F299" s="97">
        <f t="shared" si="18"/>
        <v>13257</v>
      </c>
      <c r="G299" s="97">
        <f t="shared" si="19"/>
        <v>8257</v>
      </c>
    </row>
    <row r="300" spans="1:7" x14ac:dyDescent="0.2">
      <c r="A300" s="97">
        <v>298</v>
      </c>
      <c r="B300" s="101">
        <v>1573</v>
      </c>
      <c r="D300" s="97">
        <f t="shared" si="16"/>
        <v>298</v>
      </c>
      <c r="E300" s="97">
        <f t="shared" si="17"/>
        <v>304</v>
      </c>
      <c r="F300" s="97">
        <f t="shared" si="18"/>
        <v>13589</v>
      </c>
      <c r="G300" s="97">
        <f t="shared" si="19"/>
        <v>8589</v>
      </c>
    </row>
    <row r="301" spans="1:7" x14ac:dyDescent="0.2">
      <c r="A301" s="97">
        <v>299</v>
      </c>
      <c r="B301" s="101">
        <v>1390</v>
      </c>
      <c r="D301" s="97">
        <f t="shared" si="16"/>
        <v>299</v>
      </c>
      <c r="E301" s="97">
        <f t="shared" si="17"/>
        <v>305</v>
      </c>
      <c r="F301" s="97">
        <f t="shared" si="18"/>
        <v>14217</v>
      </c>
      <c r="G301" s="97">
        <f t="shared" si="19"/>
        <v>9217</v>
      </c>
    </row>
    <row r="302" spans="1:7" x14ac:dyDescent="0.2">
      <c r="A302" s="97">
        <v>300</v>
      </c>
      <c r="B302" s="101">
        <v>2570</v>
      </c>
      <c r="D302" s="97">
        <f t="shared" si="16"/>
        <v>300</v>
      </c>
      <c r="E302" s="97">
        <f t="shared" si="17"/>
        <v>306</v>
      </c>
      <c r="F302" s="97">
        <f t="shared" si="18"/>
        <v>13422</v>
      </c>
      <c r="G302" s="97">
        <f t="shared" si="19"/>
        <v>8422</v>
      </c>
    </row>
    <row r="303" spans="1:7" x14ac:dyDescent="0.2">
      <c r="A303" s="97">
        <v>301</v>
      </c>
      <c r="B303" s="101">
        <v>2306</v>
      </c>
      <c r="D303" s="97">
        <f t="shared" si="16"/>
        <v>301</v>
      </c>
      <c r="E303" s="97">
        <f t="shared" si="17"/>
        <v>307</v>
      </c>
      <c r="F303" s="97">
        <f t="shared" si="18"/>
        <v>12167</v>
      </c>
      <c r="G303" s="97">
        <f t="shared" si="19"/>
        <v>7167</v>
      </c>
    </row>
    <row r="304" spans="1:7" x14ac:dyDescent="0.2">
      <c r="A304" s="97">
        <v>302</v>
      </c>
      <c r="B304" s="101">
        <v>145</v>
      </c>
      <c r="D304" s="97">
        <f t="shared" si="16"/>
        <v>302</v>
      </c>
      <c r="E304" s="97">
        <f t="shared" si="17"/>
        <v>308</v>
      </c>
      <c r="F304" s="97">
        <f t="shared" si="18"/>
        <v>11579</v>
      </c>
      <c r="G304" s="97">
        <f t="shared" si="19"/>
        <v>6579</v>
      </c>
    </row>
    <row r="305" spans="1:7" x14ac:dyDescent="0.2">
      <c r="A305" s="97">
        <v>303</v>
      </c>
      <c r="B305" s="101">
        <v>3665</v>
      </c>
      <c r="D305" s="97">
        <f t="shared" si="16"/>
        <v>303</v>
      </c>
      <c r="E305" s="97">
        <f t="shared" si="17"/>
        <v>309</v>
      </c>
      <c r="F305" s="97">
        <f t="shared" si="18"/>
        <v>12609</v>
      </c>
      <c r="G305" s="97">
        <f t="shared" si="19"/>
        <v>7609</v>
      </c>
    </row>
    <row r="306" spans="1:7" x14ac:dyDescent="0.2">
      <c r="A306" s="97">
        <v>304</v>
      </c>
      <c r="B306" s="101">
        <v>1940</v>
      </c>
      <c r="D306" s="97">
        <f t="shared" si="16"/>
        <v>304</v>
      </c>
      <c r="E306" s="97">
        <f t="shared" si="17"/>
        <v>310</v>
      </c>
      <c r="F306" s="97">
        <f t="shared" si="18"/>
        <v>12610</v>
      </c>
      <c r="G306" s="97">
        <f t="shared" si="19"/>
        <v>7610</v>
      </c>
    </row>
    <row r="307" spans="1:7" x14ac:dyDescent="0.2">
      <c r="A307" s="97">
        <v>305</v>
      </c>
      <c r="B307" s="101">
        <v>2201</v>
      </c>
      <c r="D307" s="97">
        <f t="shared" si="16"/>
        <v>305</v>
      </c>
      <c r="E307" s="97">
        <f t="shared" si="17"/>
        <v>311</v>
      </c>
      <c r="F307" s="97">
        <f t="shared" si="18"/>
        <v>13320</v>
      </c>
      <c r="G307" s="97">
        <f t="shared" si="19"/>
        <v>8320</v>
      </c>
    </row>
    <row r="308" spans="1:7" x14ac:dyDescent="0.2">
      <c r="A308" s="97">
        <v>306</v>
      </c>
      <c r="B308" s="101">
        <v>595</v>
      </c>
      <c r="D308" s="97">
        <f t="shared" si="16"/>
        <v>306</v>
      </c>
      <c r="E308" s="97">
        <f t="shared" si="17"/>
        <v>312</v>
      </c>
      <c r="F308" s="97">
        <f t="shared" si="18"/>
        <v>12999</v>
      </c>
      <c r="G308" s="97">
        <f t="shared" si="19"/>
        <v>7999</v>
      </c>
    </row>
    <row r="309" spans="1:7" x14ac:dyDescent="0.2">
      <c r="A309" s="97">
        <v>307</v>
      </c>
      <c r="B309" s="101">
        <v>1315</v>
      </c>
      <c r="D309" s="97">
        <f t="shared" si="16"/>
        <v>307</v>
      </c>
      <c r="E309" s="97">
        <f t="shared" si="17"/>
        <v>313</v>
      </c>
      <c r="F309" s="97">
        <f t="shared" si="18"/>
        <v>14579</v>
      </c>
      <c r="G309" s="97">
        <f t="shared" si="19"/>
        <v>9579</v>
      </c>
    </row>
    <row r="310" spans="1:7" x14ac:dyDescent="0.2">
      <c r="A310" s="97">
        <v>308</v>
      </c>
      <c r="B310" s="101">
        <v>1718</v>
      </c>
      <c r="D310" s="97">
        <f t="shared" si="16"/>
        <v>308</v>
      </c>
      <c r="E310" s="97">
        <f t="shared" si="17"/>
        <v>314</v>
      </c>
      <c r="F310" s="97">
        <f t="shared" si="18"/>
        <v>15022</v>
      </c>
      <c r="G310" s="97">
        <f t="shared" si="19"/>
        <v>10022</v>
      </c>
    </row>
    <row r="311" spans="1:7" x14ac:dyDescent="0.2">
      <c r="A311" s="97">
        <v>309</v>
      </c>
      <c r="B311" s="101">
        <v>1175</v>
      </c>
      <c r="D311" s="97">
        <f t="shared" si="16"/>
        <v>309</v>
      </c>
      <c r="E311" s="97">
        <f t="shared" si="17"/>
        <v>315</v>
      </c>
      <c r="F311" s="97">
        <f t="shared" si="18"/>
        <v>14232</v>
      </c>
      <c r="G311" s="97">
        <f t="shared" si="19"/>
        <v>9232</v>
      </c>
    </row>
    <row r="312" spans="1:7" x14ac:dyDescent="0.2">
      <c r="A312" s="97">
        <v>310</v>
      </c>
      <c r="B312" s="101">
        <v>3666</v>
      </c>
      <c r="D312" s="97">
        <f t="shared" si="16"/>
        <v>310</v>
      </c>
      <c r="E312" s="97">
        <f t="shared" si="17"/>
        <v>316</v>
      </c>
      <c r="F312" s="97">
        <f t="shared" si="18"/>
        <v>14077</v>
      </c>
      <c r="G312" s="97">
        <f t="shared" si="19"/>
        <v>9077</v>
      </c>
    </row>
    <row r="313" spans="1:7" x14ac:dyDescent="0.2">
      <c r="A313" s="97">
        <v>311</v>
      </c>
      <c r="B313" s="101">
        <v>2650</v>
      </c>
      <c r="D313" s="97">
        <f t="shared" si="16"/>
        <v>311</v>
      </c>
      <c r="E313" s="97">
        <f t="shared" si="17"/>
        <v>317</v>
      </c>
      <c r="F313" s="97">
        <f t="shared" si="18"/>
        <v>13202</v>
      </c>
      <c r="G313" s="97">
        <f t="shared" si="19"/>
        <v>8202</v>
      </c>
    </row>
    <row r="314" spans="1:7" x14ac:dyDescent="0.2">
      <c r="A314" s="97">
        <v>312</v>
      </c>
      <c r="B314" s="101">
        <v>1880</v>
      </c>
      <c r="D314" s="97">
        <f t="shared" si="16"/>
        <v>312</v>
      </c>
      <c r="E314" s="97">
        <f t="shared" si="17"/>
        <v>318</v>
      </c>
      <c r="F314" s="97">
        <f t="shared" si="18"/>
        <v>12137</v>
      </c>
      <c r="G314" s="97">
        <f t="shared" si="19"/>
        <v>7137</v>
      </c>
    </row>
    <row r="315" spans="1:7" x14ac:dyDescent="0.2">
      <c r="A315" s="97">
        <v>313</v>
      </c>
      <c r="B315" s="101">
        <v>2175</v>
      </c>
      <c r="D315" s="97">
        <f t="shared" si="16"/>
        <v>313</v>
      </c>
      <c r="E315" s="97">
        <f t="shared" si="17"/>
        <v>319</v>
      </c>
      <c r="F315" s="97">
        <f t="shared" si="18"/>
        <v>11908</v>
      </c>
      <c r="G315" s="97">
        <f t="shared" si="19"/>
        <v>6908</v>
      </c>
    </row>
    <row r="316" spans="1:7" x14ac:dyDescent="0.2">
      <c r="A316" s="97">
        <v>314</v>
      </c>
      <c r="B316" s="101">
        <v>1758</v>
      </c>
      <c r="D316" s="97">
        <f t="shared" si="16"/>
        <v>314</v>
      </c>
      <c r="E316" s="97">
        <f t="shared" si="17"/>
        <v>320</v>
      </c>
      <c r="F316" s="97">
        <f t="shared" si="18"/>
        <v>11866</v>
      </c>
      <c r="G316" s="97">
        <f t="shared" si="19"/>
        <v>6866</v>
      </c>
    </row>
    <row r="317" spans="1:7" x14ac:dyDescent="0.2">
      <c r="A317" s="97">
        <v>315</v>
      </c>
      <c r="B317" s="101">
        <v>928</v>
      </c>
      <c r="D317" s="97">
        <f t="shared" si="16"/>
        <v>315</v>
      </c>
      <c r="E317" s="97">
        <f t="shared" si="17"/>
        <v>321</v>
      </c>
      <c r="F317" s="97">
        <f t="shared" si="18"/>
        <v>13183</v>
      </c>
      <c r="G317" s="97">
        <f t="shared" si="19"/>
        <v>8183</v>
      </c>
    </row>
    <row r="318" spans="1:7" x14ac:dyDescent="0.2">
      <c r="A318" s="97">
        <v>316</v>
      </c>
      <c r="B318" s="101">
        <v>1020</v>
      </c>
      <c r="D318" s="97">
        <f t="shared" si="16"/>
        <v>316</v>
      </c>
      <c r="E318" s="97">
        <f t="shared" si="17"/>
        <v>322</v>
      </c>
      <c r="F318" s="97">
        <f t="shared" si="18"/>
        <v>15615</v>
      </c>
      <c r="G318" s="97">
        <f t="shared" si="19"/>
        <v>10615</v>
      </c>
    </row>
    <row r="319" spans="1:7" x14ac:dyDescent="0.2">
      <c r="A319" s="97">
        <v>317</v>
      </c>
      <c r="B319" s="101">
        <v>2791</v>
      </c>
      <c r="D319" s="97">
        <f t="shared" si="16"/>
        <v>317</v>
      </c>
      <c r="E319" s="97">
        <f t="shared" si="17"/>
        <v>323</v>
      </c>
      <c r="F319" s="97">
        <f t="shared" si="18"/>
        <v>16388</v>
      </c>
      <c r="G319" s="97">
        <f t="shared" si="19"/>
        <v>11388</v>
      </c>
    </row>
    <row r="320" spans="1:7" x14ac:dyDescent="0.2">
      <c r="A320" s="97">
        <v>318</v>
      </c>
      <c r="B320" s="101">
        <v>1585</v>
      </c>
      <c r="D320" s="97">
        <f t="shared" si="16"/>
        <v>318</v>
      </c>
      <c r="E320" s="97">
        <f t="shared" si="17"/>
        <v>324</v>
      </c>
      <c r="F320" s="97">
        <f t="shared" si="18"/>
        <v>15923</v>
      </c>
      <c r="G320" s="97">
        <f t="shared" si="19"/>
        <v>10923</v>
      </c>
    </row>
    <row r="321" spans="1:7" x14ac:dyDescent="0.2">
      <c r="A321" s="97">
        <v>319</v>
      </c>
      <c r="B321" s="101">
        <v>1651</v>
      </c>
      <c r="D321" s="97">
        <f t="shared" si="16"/>
        <v>319</v>
      </c>
      <c r="E321" s="97">
        <f t="shared" si="17"/>
        <v>325</v>
      </c>
      <c r="F321" s="97">
        <f t="shared" si="18"/>
        <v>14939</v>
      </c>
      <c r="G321" s="97">
        <f t="shared" si="19"/>
        <v>9939</v>
      </c>
    </row>
    <row r="322" spans="1:7" x14ac:dyDescent="0.2">
      <c r="A322" s="97">
        <v>320</v>
      </c>
      <c r="B322" s="101">
        <v>2133</v>
      </c>
      <c r="D322" s="97">
        <f t="shared" si="16"/>
        <v>320</v>
      </c>
      <c r="E322" s="97">
        <f t="shared" si="17"/>
        <v>326</v>
      </c>
      <c r="F322" s="97">
        <f t="shared" si="18"/>
        <v>16252</v>
      </c>
      <c r="G322" s="97">
        <f t="shared" si="19"/>
        <v>11252</v>
      </c>
    </row>
    <row r="323" spans="1:7" x14ac:dyDescent="0.2">
      <c r="A323" s="97">
        <v>321</v>
      </c>
      <c r="B323" s="101">
        <v>3075</v>
      </c>
      <c r="D323" s="97">
        <f t="shared" si="16"/>
        <v>321</v>
      </c>
      <c r="E323" s="97">
        <f t="shared" si="17"/>
        <v>327</v>
      </c>
      <c r="F323" s="97">
        <f t="shared" si="18"/>
        <v>16204</v>
      </c>
      <c r="G323" s="97">
        <f t="shared" si="19"/>
        <v>11204</v>
      </c>
    </row>
    <row r="324" spans="1:7" x14ac:dyDescent="0.2">
      <c r="A324" s="97">
        <v>322</v>
      </c>
      <c r="B324" s="101">
        <v>3360</v>
      </c>
      <c r="D324" s="97">
        <f t="shared" ref="D324:D387" si="20">A324</f>
        <v>322</v>
      </c>
      <c r="E324" s="97">
        <f t="shared" ref="E324:E387" si="21">A330</f>
        <v>328</v>
      </c>
      <c r="F324" s="97">
        <f t="shared" ref="F324:F387" si="22">SUM(B324:B330)</f>
        <v>15649</v>
      </c>
      <c r="G324" s="97">
        <f t="shared" ref="G324:G387" si="23">MAX(F324-$J$5,0)</f>
        <v>10649</v>
      </c>
    </row>
    <row r="325" spans="1:7" x14ac:dyDescent="0.2">
      <c r="A325" s="97">
        <v>323</v>
      </c>
      <c r="B325" s="101">
        <v>1793</v>
      </c>
      <c r="D325" s="97">
        <f t="shared" si="20"/>
        <v>323</v>
      </c>
      <c r="E325" s="97">
        <f t="shared" si="21"/>
        <v>329</v>
      </c>
      <c r="F325" s="97">
        <f t="shared" si="22"/>
        <v>14319</v>
      </c>
      <c r="G325" s="97">
        <f t="shared" si="23"/>
        <v>9319</v>
      </c>
    </row>
    <row r="326" spans="1:7" x14ac:dyDescent="0.2">
      <c r="A326" s="97">
        <v>324</v>
      </c>
      <c r="B326" s="101">
        <v>2326</v>
      </c>
      <c r="D326" s="97">
        <f t="shared" si="20"/>
        <v>324</v>
      </c>
      <c r="E326" s="97">
        <f t="shared" si="21"/>
        <v>330</v>
      </c>
      <c r="F326" s="97">
        <f t="shared" si="22"/>
        <v>14672</v>
      </c>
      <c r="G326" s="97">
        <f t="shared" si="23"/>
        <v>9672</v>
      </c>
    </row>
    <row r="327" spans="1:7" x14ac:dyDescent="0.2">
      <c r="A327" s="97">
        <v>325</v>
      </c>
      <c r="B327" s="101">
        <v>601</v>
      </c>
      <c r="D327" s="97">
        <f t="shared" si="20"/>
        <v>325</v>
      </c>
      <c r="E327" s="97">
        <f t="shared" si="21"/>
        <v>331</v>
      </c>
      <c r="F327" s="97">
        <f t="shared" si="22"/>
        <v>13331</v>
      </c>
      <c r="G327" s="97">
        <f t="shared" si="23"/>
        <v>8331</v>
      </c>
    </row>
    <row r="328" spans="1:7" x14ac:dyDescent="0.2">
      <c r="A328" s="97">
        <v>326</v>
      </c>
      <c r="B328" s="101">
        <v>2964</v>
      </c>
      <c r="D328" s="97">
        <f t="shared" si="20"/>
        <v>326</v>
      </c>
      <c r="E328" s="97">
        <f t="shared" si="21"/>
        <v>332</v>
      </c>
      <c r="F328" s="97">
        <f t="shared" si="22"/>
        <v>15209</v>
      </c>
      <c r="G328" s="97">
        <f t="shared" si="23"/>
        <v>10209</v>
      </c>
    </row>
    <row r="329" spans="1:7" x14ac:dyDescent="0.2">
      <c r="A329" s="97">
        <v>327</v>
      </c>
      <c r="B329" s="101">
        <v>2085</v>
      </c>
      <c r="D329" s="97">
        <f t="shared" si="20"/>
        <v>327</v>
      </c>
      <c r="E329" s="97">
        <f t="shared" si="21"/>
        <v>333</v>
      </c>
      <c r="F329" s="97">
        <f t="shared" si="22"/>
        <v>13894</v>
      </c>
      <c r="G329" s="97">
        <f t="shared" si="23"/>
        <v>8894</v>
      </c>
    </row>
    <row r="330" spans="1:7" x14ac:dyDescent="0.2">
      <c r="A330" s="97">
        <v>328</v>
      </c>
      <c r="B330" s="101">
        <v>2520</v>
      </c>
      <c r="D330" s="97">
        <f t="shared" si="20"/>
        <v>328</v>
      </c>
      <c r="E330" s="97">
        <f t="shared" si="21"/>
        <v>334</v>
      </c>
      <c r="F330" s="97">
        <f t="shared" si="22"/>
        <v>13269</v>
      </c>
      <c r="G330" s="97">
        <f t="shared" si="23"/>
        <v>8269</v>
      </c>
    </row>
    <row r="331" spans="1:7" x14ac:dyDescent="0.2">
      <c r="A331" s="97">
        <v>329</v>
      </c>
      <c r="B331" s="101">
        <v>2030</v>
      </c>
      <c r="D331" s="97">
        <f t="shared" si="20"/>
        <v>329</v>
      </c>
      <c r="E331" s="97">
        <f t="shared" si="21"/>
        <v>335</v>
      </c>
      <c r="F331" s="97">
        <f t="shared" si="22"/>
        <v>12513</v>
      </c>
      <c r="G331" s="97">
        <f t="shared" si="23"/>
        <v>7513</v>
      </c>
    </row>
    <row r="332" spans="1:7" x14ac:dyDescent="0.2">
      <c r="A332" s="97">
        <v>330</v>
      </c>
      <c r="B332" s="101">
        <v>2146</v>
      </c>
      <c r="D332" s="97">
        <f t="shared" si="20"/>
        <v>330</v>
      </c>
      <c r="E332" s="97">
        <f t="shared" si="21"/>
        <v>336</v>
      </c>
      <c r="F332" s="97">
        <f t="shared" si="22"/>
        <v>12761</v>
      </c>
      <c r="G332" s="97">
        <f t="shared" si="23"/>
        <v>7761</v>
      </c>
    </row>
    <row r="333" spans="1:7" x14ac:dyDescent="0.2">
      <c r="A333" s="97">
        <v>331</v>
      </c>
      <c r="B333" s="101">
        <v>985</v>
      </c>
      <c r="D333" s="97">
        <f t="shared" si="20"/>
        <v>331</v>
      </c>
      <c r="E333" s="97">
        <f t="shared" si="21"/>
        <v>337</v>
      </c>
      <c r="F333" s="97">
        <f t="shared" si="22"/>
        <v>11988</v>
      </c>
      <c r="G333" s="97">
        <f t="shared" si="23"/>
        <v>6988</v>
      </c>
    </row>
    <row r="334" spans="1:7" x14ac:dyDescent="0.2">
      <c r="A334" s="97">
        <v>332</v>
      </c>
      <c r="B334" s="101">
        <v>2479</v>
      </c>
      <c r="D334" s="97">
        <f t="shared" si="20"/>
        <v>332</v>
      </c>
      <c r="E334" s="97">
        <f t="shared" si="21"/>
        <v>338</v>
      </c>
      <c r="F334" s="97">
        <f t="shared" si="22"/>
        <v>12581</v>
      </c>
      <c r="G334" s="97">
        <f t="shared" si="23"/>
        <v>7581</v>
      </c>
    </row>
    <row r="335" spans="1:7" x14ac:dyDescent="0.2">
      <c r="A335" s="97">
        <v>333</v>
      </c>
      <c r="B335" s="101">
        <v>1649</v>
      </c>
      <c r="D335" s="97">
        <f t="shared" si="20"/>
        <v>333</v>
      </c>
      <c r="E335" s="97">
        <f t="shared" si="21"/>
        <v>339</v>
      </c>
      <c r="F335" s="97">
        <f t="shared" si="22"/>
        <v>12777</v>
      </c>
      <c r="G335" s="97">
        <f t="shared" si="23"/>
        <v>7777</v>
      </c>
    </row>
    <row r="336" spans="1:7" x14ac:dyDescent="0.2">
      <c r="A336" s="97">
        <v>334</v>
      </c>
      <c r="B336" s="101">
        <v>1460</v>
      </c>
      <c r="D336" s="97">
        <f t="shared" si="20"/>
        <v>334</v>
      </c>
      <c r="E336" s="97">
        <f t="shared" si="21"/>
        <v>340</v>
      </c>
      <c r="F336" s="97">
        <f t="shared" si="22"/>
        <v>12459</v>
      </c>
      <c r="G336" s="97">
        <f t="shared" si="23"/>
        <v>7459</v>
      </c>
    </row>
    <row r="337" spans="1:7" x14ac:dyDescent="0.2">
      <c r="A337" s="97">
        <v>335</v>
      </c>
      <c r="B337" s="101">
        <v>1764</v>
      </c>
      <c r="D337" s="97">
        <f t="shared" si="20"/>
        <v>335</v>
      </c>
      <c r="E337" s="97">
        <f t="shared" si="21"/>
        <v>341</v>
      </c>
      <c r="F337" s="97">
        <f t="shared" si="22"/>
        <v>10999</v>
      </c>
      <c r="G337" s="97">
        <f t="shared" si="23"/>
        <v>5999</v>
      </c>
    </row>
    <row r="338" spans="1:7" x14ac:dyDescent="0.2">
      <c r="A338" s="97">
        <v>336</v>
      </c>
      <c r="B338" s="101">
        <v>2278</v>
      </c>
      <c r="D338" s="97">
        <f t="shared" si="20"/>
        <v>336</v>
      </c>
      <c r="E338" s="97">
        <f t="shared" si="21"/>
        <v>342</v>
      </c>
      <c r="F338" s="97">
        <f t="shared" si="22"/>
        <v>11145</v>
      </c>
      <c r="G338" s="97">
        <f t="shared" si="23"/>
        <v>6145</v>
      </c>
    </row>
    <row r="339" spans="1:7" x14ac:dyDescent="0.2">
      <c r="A339" s="97">
        <v>337</v>
      </c>
      <c r="B339" s="101">
        <v>1373</v>
      </c>
      <c r="D339" s="97">
        <f t="shared" si="20"/>
        <v>337</v>
      </c>
      <c r="E339" s="97">
        <f t="shared" si="21"/>
        <v>343</v>
      </c>
      <c r="F339" s="97">
        <f t="shared" si="22"/>
        <v>9657</v>
      </c>
      <c r="G339" s="97">
        <f t="shared" si="23"/>
        <v>4657</v>
      </c>
    </row>
    <row r="340" spans="1:7" x14ac:dyDescent="0.2">
      <c r="A340" s="97">
        <v>338</v>
      </c>
      <c r="B340" s="101">
        <v>1578</v>
      </c>
      <c r="D340" s="97">
        <f t="shared" si="20"/>
        <v>338</v>
      </c>
      <c r="E340" s="97">
        <f t="shared" si="21"/>
        <v>344</v>
      </c>
      <c r="F340" s="97">
        <f t="shared" si="22"/>
        <v>10199</v>
      </c>
      <c r="G340" s="97">
        <f t="shared" si="23"/>
        <v>5199</v>
      </c>
    </row>
    <row r="341" spans="1:7" x14ac:dyDescent="0.2">
      <c r="A341" s="97">
        <v>339</v>
      </c>
      <c r="B341" s="101">
        <v>2675</v>
      </c>
      <c r="D341" s="97">
        <f t="shared" si="20"/>
        <v>339</v>
      </c>
      <c r="E341" s="97">
        <f t="shared" si="21"/>
        <v>345</v>
      </c>
      <c r="F341" s="97">
        <f t="shared" si="22"/>
        <v>10324</v>
      </c>
      <c r="G341" s="97">
        <f t="shared" si="23"/>
        <v>5324</v>
      </c>
    </row>
    <row r="342" spans="1:7" x14ac:dyDescent="0.2">
      <c r="A342" s="97">
        <v>340</v>
      </c>
      <c r="B342" s="101">
        <v>1331</v>
      </c>
      <c r="D342" s="97">
        <f t="shared" si="20"/>
        <v>340</v>
      </c>
      <c r="E342" s="97">
        <f t="shared" si="21"/>
        <v>346</v>
      </c>
      <c r="F342" s="97">
        <f t="shared" si="22"/>
        <v>8968</v>
      </c>
      <c r="G342" s="97">
        <f t="shared" si="23"/>
        <v>3968</v>
      </c>
    </row>
    <row r="343" spans="1:7" x14ac:dyDescent="0.2">
      <c r="A343" s="97">
        <v>341</v>
      </c>
      <c r="B343" s="101">
        <v>0</v>
      </c>
      <c r="D343" s="97">
        <f t="shared" si="20"/>
        <v>341</v>
      </c>
      <c r="E343" s="97">
        <f t="shared" si="21"/>
        <v>347</v>
      </c>
      <c r="F343" s="97">
        <f t="shared" si="22"/>
        <v>9535</v>
      </c>
      <c r="G343" s="97">
        <f t="shared" si="23"/>
        <v>4535</v>
      </c>
    </row>
    <row r="344" spans="1:7" x14ac:dyDescent="0.2">
      <c r="A344" s="97">
        <v>342</v>
      </c>
      <c r="B344" s="101">
        <v>1910</v>
      </c>
      <c r="D344" s="97">
        <f t="shared" si="20"/>
        <v>342</v>
      </c>
      <c r="E344" s="97">
        <f t="shared" si="21"/>
        <v>348</v>
      </c>
      <c r="F344" s="97">
        <f t="shared" si="22"/>
        <v>11888</v>
      </c>
      <c r="G344" s="97">
        <f t="shared" si="23"/>
        <v>6888</v>
      </c>
    </row>
    <row r="345" spans="1:7" x14ac:dyDescent="0.2">
      <c r="A345" s="97">
        <v>343</v>
      </c>
      <c r="B345" s="101">
        <v>790</v>
      </c>
      <c r="D345" s="97">
        <f t="shared" si="20"/>
        <v>343</v>
      </c>
      <c r="E345" s="97">
        <f t="shared" si="21"/>
        <v>349</v>
      </c>
      <c r="F345" s="97">
        <f t="shared" si="22"/>
        <v>13107</v>
      </c>
      <c r="G345" s="97">
        <f t="shared" si="23"/>
        <v>8107</v>
      </c>
    </row>
    <row r="346" spans="1:7" x14ac:dyDescent="0.2">
      <c r="A346" s="97">
        <v>344</v>
      </c>
      <c r="B346" s="101">
        <v>1915</v>
      </c>
      <c r="D346" s="97">
        <f t="shared" si="20"/>
        <v>344</v>
      </c>
      <c r="E346" s="97">
        <f t="shared" si="21"/>
        <v>350</v>
      </c>
      <c r="F346" s="97">
        <f t="shared" si="22"/>
        <v>13402</v>
      </c>
      <c r="G346" s="97">
        <f t="shared" si="23"/>
        <v>8402</v>
      </c>
    </row>
    <row r="347" spans="1:7" x14ac:dyDescent="0.2">
      <c r="A347" s="97">
        <v>345</v>
      </c>
      <c r="B347" s="101">
        <v>1703</v>
      </c>
      <c r="D347" s="97">
        <f t="shared" si="20"/>
        <v>345</v>
      </c>
      <c r="E347" s="97">
        <f t="shared" si="21"/>
        <v>351</v>
      </c>
      <c r="F347" s="97">
        <f t="shared" si="22"/>
        <v>12905</v>
      </c>
      <c r="G347" s="97">
        <f t="shared" si="23"/>
        <v>7905</v>
      </c>
    </row>
    <row r="348" spans="1:7" x14ac:dyDescent="0.2">
      <c r="A348" s="97">
        <v>346</v>
      </c>
      <c r="B348" s="101">
        <v>1319</v>
      </c>
      <c r="D348" s="97">
        <f t="shared" si="20"/>
        <v>346</v>
      </c>
      <c r="E348" s="97">
        <f t="shared" si="21"/>
        <v>352</v>
      </c>
      <c r="F348" s="97">
        <f t="shared" si="22"/>
        <v>12233</v>
      </c>
      <c r="G348" s="97">
        <f t="shared" si="23"/>
        <v>7233</v>
      </c>
    </row>
    <row r="349" spans="1:7" x14ac:dyDescent="0.2">
      <c r="A349" s="97">
        <v>347</v>
      </c>
      <c r="B349" s="101">
        <v>1898</v>
      </c>
      <c r="D349" s="97">
        <f t="shared" si="20"/>
        <v>347</v>
      </c>
      <c r="E349" s="97">
        <f t="shared" si="21"/>
        <v>353</v>
      </c>
      <c r="F349" s="97">
        <f t="shared" si="22"/>
        <v>13615</v>
      </c>
      <c r="G349" s="97">
        <f t="shared" si="23"/>
        <v>8615</v>
      </c>
    </row>
    <row r="350" spans="1:7" x14ac:dyDescent="0.2">
      <c r="A350" s="97">
        <v>348</v>
      </c>
      <c r="B350" s="101">
        <v>2353</v>
      </c>
      <c r="D350" s="97">
        <f t="shared" si="20"/>
        <v>348</v>
      </c>
      <c r="E350" s="97">
        <f t="shared" si="21"/>
        <v>354</v>
      </c>
      <c r="F350" s="97">
        <f t="shared" si="22"/>
        <v>14910</v>
      </c>
      <c r="G350" s="97">
        <f t="shared" si="23"/>
        <v>9910</v>
      </c>
    </row>
    <row r="351" spans="1:7" x14ac:dyDescent="0.2">
      <c r="A351" s="97">
        <v>349</v>
      </c>
      <c r="B351" s="101">
        <v>3129</v>
      </c>
      <c r="D351" s="97">
        <f t="shared" si="20"/>
        <v>349</v>
      </c>
      <c r="E351" s="97">
        <f t="shared" si="21"/>
        <v>355</v>
      </c>
      <c r="F351" s="97">
        <f t="shared" si="22"/>
        <v>15058</v>
      </c>
      <c r="G351" s="97">
        <f t="shared" si="23"/>
        <v>10058</v>
      </c>
    </row>
    <row r="352" spans="1:7" x14ac:dyDescent="0.2">
      <c r="A352" s="97">
        <v>350</v>
      </c>
      <c r="B352" s="101">
        <v>1085</v>
      </c>
      <c r="D352" s="97">
        <f t="shared" si="20"/>
        <v>350</v>
      </c>
      <c r="E352" s="97">
        <f t="shared" si="21"/>
        <v>356</v>
      </c>
      <c r="F352" s="97">
        <f t="shared" si="22"/>
        <v>13640</v>
      </c>
      <c r="G352" s="97">
        <f t="shared" si="23"/>
        <v>8640</v>
      </c>
    </row>
    <row r="353" spans="1:7" x14ac:dyDescent="0.2">
      <c r="A353" s="97">
        <v>351</v>
      </c>
      <c r="B353" s="101">
        <v>1418</v>
      </c>
      <c r="D353" s="97">
        <f t="shared" si="20"/>
        <v>351</v>
      </c>
      <c r="E353" s="97">
        <f t="shared" si="21"/>
        <v>357</v>
      </c>
      <c r="F353" s="97">
        <f t="shared" si="22"/>
        <v>13521</v>
      </c>
      <c r="G353" s="97">
        <f t="shared" si="23"/>
        <v>8521</v>
      </c>
    </row>
    <row r="354" spans="1:7" x14ac:dyDescent="0.2">
      <c r="A354" s="97">
        <v>352</v>
      </c>
      <c r="B354" s="101">
        <v>1031</v>
      </c>
      <c r="D354" s="97">
        <f t="shared" si="20"/>
        <v>352</v>
      </c>
      <c r="E354" s="97">
        <f t="shared" si="21"/>
        <v>358</v>
      </c>
      <c r="F354" s="97">
        <f t="shared" si="22"/>
        <v>13796</v>
      </c>
      <c r="G354" s="97">
        <f t="shared" si="23"/>
        <v>8796</v>
      </c>
    </row>
    <row r="355" spans="1:7" x14ac:dyDescent="0.2">
      <c r="A355" s="97">
        <v>353</v>
      </c>
      <c r="B355" s="101">
        <v>2701</v>
      </c>
      <c r="D355" s="97">
        <f t="shared" si="20"/>
        <v>353</v>
      </c>
      <c r="E355" s="97">
        <f t="shared" si="21"/>
        <v>359</v>
      </c>
      <c r="F355" s="97">
        <f t="shared" si="22"/>
        <v>15620</v>
      </c>
      <c r="G355" s="97">
        <f t="shared" si="23"/>
        <v>10620</v>
      </c>
    </row>
    <row r="356" spans="1:7" x14ac:dyDescent="0.2">
      <c r="A356" s="97">
        <v>354</v>
      </c>
      <c r="B356" s="101">
        <v>3193</v>
      </c>
      <c r="D356" s="97">
        <f t="shared" si="20"/>
        <v>354</v>
      </c>
      <c r="E356" s="97">
        <f t="shared" si="21"/>
        <v>360</v>
      </c>
      <c r="F356" s="97">
        <f t="shared" si="22"/>
        <v>15220</v>
      </c>
      <c r="G356" s="97">
        <f t="shared" si="23"/>
        <v>10220</v>
      </c>
    </row>
    <row r="357" spans="1:7" x14ac:dyDescent="0.2">
      <c r="A357" s="97">
        <v>355</v>
      </c>
      <c r="B357" s="101">
        <v>2501</v>
      </c>
      <c r="D357" s="97">
        <f t="shared" si="20"/>
        <v>355</v>
      </c>
      <c r="E357" s="97">
        <f t="shared" si="21"/>
        <v>361</v>
      </c>
      <c r="F357" s="97">
        <f t="shared" si="22"/>
        <v>12317</v>
      </c>
      <c r="G357" s="97">
        <f t="shared" si="23"/>
        <v>7317</v>
      </c>
    </row>
    <row r="358" spans="1:7" x14ac:dyDescent="0.2">
      <c r="A358" s="97">
        <v>356</v>
      </c>
      <c r="B358" s="101">
        <v>1711</v>
      </c>
      <c r="D358" s="97">
        <f t="shared" si="20"/>
        <v>356</v>
      </c>
      <c r="E358" s="97">
        <f t="shared" si="21"/>
        <v>362</v>
      </c>
      <c r="F358" s="97">
        <f t="shared" si="22"/>
        <v>11744</v>
      </c>
      <c r="G358" s="97">
        <f t="shared" si="23"/>
        <v>6744</v>
      </c>
    </row>
    <row r="359" spans="1:7" x14ac:dyDescent="0.2">
      <c r="A359" s="97">
        <v>357</v>
      </c>
      <c r="B359" s="101">
        <v>966</v>
      </c>
      <c r="D359" s="97">
        <f t="shared" si="20"/>
        <v>357</v>
      </c>
      <c r="E359" s="97">
        <f t="shared" si="21"/>
        <v>363</v>
      </c>
      <c r="F359" s="97">
        <f t="shared" si="22"/>
        <v>10144</v>
      </c>
      <c r="G359" s="97">
        <f t="shared" si="23"/>
        <v>5144</v>
      </c>
    </row>
    <row r="360" spans="1:7" x14ac:dyDescent="0.2">
      <c r="A360" s="97">
        <v>358</v>
      </c>
      <c r="B360" s="101">
        <v>1693</v>
      </c>
      <c r="D360" s="97">
        <f t="shared" si="20"/>
        <v>358</v>
      </c>
      <c r="E360" s="97">
        <f t="shared" si="21"/>
        <v>364</v>
      </c>
      <c r="F360" s="97">
        <f t="shared" si="22"/>
        <v>11194</v>
      </c>
      <c r="G360" s="97">
        <f t="shared" si="23"/>
        <v>6194</v>
      </c>
    </row>
    <row r="361" spans="1:7" x14ac:dyDescent="0.2">
      <c r="A361" s="97">
        <v>359</v>
      </c>
      <c r="B361" s="101">
        <v>2855</v>
      </c>
      <c r="D361" s="97">
        <f t="shared" si="20"/>
        <v>359</v>
      </c>
      <c r="E361" s="97">
        <f t="shared" si="21"/>
        <v>365</v>
      </c>
      <c r="F361" s="97">
        <f t="shared" si="22"/>
        <v>12404</v>
      </c>
      <c r="G361" s="97">
        <f t="shared" si="23"/>
        <v>7404</v>
      </c>
    </row>
    <row r="362" spans="1:7" x14ac:dyDescent="0.2">
      <c r="A362" s="97">
        <v>360</v>
      </c>
      <c r="B362" s="101">
        <v>2301</v>
      </c>
      <c r="D362" s="97">
        <f t="shared" si="20"/>
        <v>360</v>
      </c>
      <c r="E362" s="97">
        <f t="shared" si="21"/>
        <v>366</v>
      </c>
      <c r="F362" s="97">
        <f t="shared" si="22"/>
        <v>11385</v>
      </c>
      <c r="G362" s="97">
        <f t="shared" si="23"/>
        <v>6385</v>
      </c>
    </row>
    <row r="363" spans="1:7" x14ac:dyDescent="0.2">
      <c r="A363" s="97">
        <v>361</v>
      </c>
      <c r="B363" s="101">
        <v>290</v>
      </c>
      <c r="D363" s="97">
        <f t="shared" si="20"/>
        <v>361</v>
      </c>
      <c r="E363" s="97">
        <f t="shared" si="21"/>
        <v>367</v>
      </c>
      <c r="F363" s="97">
        <f t="shared" si="22"/>
        <v>9650</v>
      </c>
      <c r="G363" s="97">
        <f t="shared" si="23"/>
        <v>4650</v>
      </c>
    </row>
    <row r="364" spans="1:7" x14ac:dyDescent="0.2">
      <c r="A364" s="97">
        <v>362</v>
      </c>
      <c r="B364" s="101">
        <v>1928</v>
      </c>
      <c r="D364" s="97">
        <f t="shared" si="20"/>
        <v>362</v>
      </c>
      <c r="E364" s="97">
        <f t="shared" si="21"/>
        <v>368</v>
      </c>
      <c r="F364" s="97">
        <f t="shared" si="22"/>
        <v>12463</v>
      </c>
      <c r="G364" s="97">
        <f t="shared" si="23"/>
        <v>7463</v>
      </c>
    </row>
    <row r="365" spans="1:7" x14ac:dyDescent="0.2">
      <c r="A365" s="97">
        <v>363</v>
      </c>
      <c r="B365" s="101">
        <v>111</v>
      </c>
      <c r="D365" s="97">
        <f t="shared" si="20"/>
        <v>363</v>
      </c>
      <c r="E365" s="97">
        <f t="shared" si="21"/>
        <v>369</v>
      </c>
      <c r="F365" s="97">
        <f t="shared" si="22"/>
        <v>13754</v>
      </c>
      <c r="G365" s="97">
        <f t="shared" si="23"/>
        <v>8754</v>
      </c>
    </row>
    <row r="366" spans="1:7" x14ac:dyDescent="0.2">
      <c r="A366" s="97">
        <v>364</v>
      </c>
      <c r="B366" s="101">
        <v>2016</v>
      </c>
      <c r="D366" s="97">
        <f t="shared" si="20"/>
        <v>364</v>
      </c>
      <c r="E366" s="97">
        <f t="shared" si="21"/>
        <v>370</v>
      </c>
      <c r="F366" s="97">
        <f t="shared" si="22"/>
        <v>13841</v>
      </c>
      <c r="G366" s="97">
        <f t="shared" si="23"/>
        <v>8841</v>
      </c>
    </row>
    <row r="367" spans="1:7" x14ac:dyDescent="0.2">
      <c r="A367" s="97">
        <v>365</v>
      </c>
      <c r="B367" s="101">
        <v>2903</v>
      </c>
      <c r="D367" s="97">
        <f t="shared" si="20"/>
        <v>365</v>
      </c>
      <c r="E367" s="97">
        <f t="shared" si="21"/>
        <v>371</v>
      </c>
      <c r="F367" s="97">
        <f t="shared" si="22"/>
        <v>12646</v>
      </c>
      <c r="G367" s="97">
        <f t="shared" si="23"/>
        <v>7646</v>
      </c>
    </row>
    <row r="368" spans="1:7" x14ac:dyDescent="0.2">
      <c r="A368" s="97">
        <v>366</v>
      </c>
      <c r="B368" s="101">
        <v>1836</v>
      </c>
      <c r="D368" s="97">
        <f t="shared" si="20"/>
        <v>366</v>
      </c>
      <c r="E368" s="97">
        <f t="shared" si="21"/>
        <v>372</v>
      </c>
      <c r="F368" s="97">
        <f t="shared" si="22"/>
        <v>11341</v>
      </c>
      <c r="G368" s="97">
        <f t="shared" si="23"/>
        <v>6341</v>
      </c>
    </row>
    <row r="369" spans="1:7" x14ac:dyDescent="0.2">
      <c r="A369" s="97">
        <v>367</v>
      </c>
      <c r="B369" s="101">
        <v>566</v>
      </c>
      <c r="D369" s="97">
        <f t="shared" si="20"/>
        <v>367</v>
      </c>
      <c r="E369" s="97">
        <f t="shared" si="21"/>
        <v>373</v>
      </c>
      <c r="F369" s="97">
        <f t="shared" si="22"/>
        <v>12608</v>
      </c>
      <c r="G369" s="97">
        <f t="shared" si="23"/>
        <v>7608</v>
      </c>
    </row>
    <row r="370" spans="1:7" x14ac:dyDescent="0.2">
      <c r="A370" s="97">
        <v>368</v>
      </c>
      <c r="B370" s="101">
        <v>3103</v>
      </c>
      <c r="D370" s="97">
        <f t="shared" si="20"/>
        <v>368</v>
      </c>
      <c r="E370" s="97">
        <f t="shared" si="21"/>
        <v>374</v>
      </c>
      <c r="F370" s="97">
        <f t="shared" si="22"/>
        <v>15212</v>
      </c>
      <c r="G370" s="97">
        <f t="shared" si="23"/>
        <v>10212</v>
      </c>
    </row>
    <row r="371" spans="1:7" x14ac:dyDescent="0.2">
      <c r="A371" s="97">
        <v>369</v>
      </c>
      <c r="B371" s="101">
        <v>3219</v>
      </c>
      <c r="D371" s="97">
        <f t="shared" si="20"/>
        <v>369</v>
      </c>
      <c r="E371" s="97">
        <f t="shared" si="21"/>
        <v>375</v>
      </c>
      <c r="F371" s="97">
        <f t="shared" si="22"/>
        <v>13307</v>
      </c>
      <c r="G371" s="97">
        <f t="shared" si="23"/>
        <v>8307</v>
      </c>
    </row>
    <row r="372" spans="1:7" x14ac:dyDescent="0.2">
      <c r="A372" s="97">
        <v>370</v>
      </c>
      <c r="B372" s="101">
        <v>198</v>
      </c>
      <c r="D372" s="97">
        <f t="shared" si="20"/>
        <v>370</v>
      </c>
      <c r="E372" s="97">
        <f t="shared" si="21"/>
        <v>376</v>
      </c>
      <c r="F372" s="97">
        <f t="shared" si="22"/>
        <v>11477</v>
      </c>
      <c r="G372" s="97">
        <f t="shared" si="23"/>
        <v>6477</v>
      </c>
    </row>
    <row r="373" spans="1:7" x14ac:dyDescent="0.2">
      <c r="A373" s="97">
        <v>371</v>
      </c>
      <c r="B373" s="101">
        <v>821</v>
      </c>
      <c r="D373" s="97">
        <f t="shared" si="20"/>
        <v>371</v>
      </c>
      <c r="E373" s="97">
        <f t="shared" si="21"/>
        <v>377</v>
      </c>
      <c r="F373" s="97">
        <f t="shared" si="22"/>
        <v>14463</v>
      </c>
      <c r="G373" s="97">
        <f t="shared" si="23"/>
        <v>9463</v>
      </c>
    </row>
    <row r="374" spans="1:7" x14ac:dyDescent="0.2">
      <c r="A374" s="97">
        <v>372</v>
      </c>
      <c r="B374" s="101">
        <v>1598</v>
      </c>
      <c r="D374" s="97">
        <f t="shared" si="20"/>
        <v>372</v>
      </c>
      <c r="E374" s="97">
        <f t="shared" si="21"/>
        <v>378</v>
      </c>
      <c r="F374" s="97">
        <f t="shared" si="22"/>
        <v>15176</v>
      </c>
      <c r="G374" s="97">
        <f t="shared" si="23"/>
        <v>10176</v>
      </c>
    </row>
    <row r="375" spans="1:7" x14ac:dyDescent="0.2">
      <c r="A375" s="97">
        <v>373</v>
      </c>
      <c r="B375" s="101">
        <v>3103</v>
      </c>
      <c r="D375" s="97">
        <f t="shared" si="20"/>
        <v>373</v>
      </c>
      <c r="E375" s="97">
        <f t="shared" si="21"/>
        <v>379</v>
      </c>
      <c r="F375" s="97">
        <f t="shared" si="22"/>
        <v>14223</v>
      </c>
      <c r="G375" s="97">
        <f t="shared" si="23"/>
        <v>9223</v>
      </c>
    </row>
    <row r="376" spans="1:7" x14ac:dyDescent="0.2">
      <c r="A376" s="97">
        <v>374</v>
      </c>
      <c r="B376" s="101">
        <v>3170</v>
      </c>
      <c r="D376" s="97">
        <f t="shared" si="20"/>
        <v>374</v>
      </c>
      <c r="E376" s="97">
        <f t="shared" si="21"/>
        <v>380</v>
      </c>
      <c r="F376" s="97">
        <f t="shared" si="22"/>
        <v>13403</v>
      </c>
      <c r="G376" s="97">
        <f t="shared" si="23"/>
        <v>8403</v>
      </c>
    </row>
    <row r="377" spans="1:7" x14ac:dyDescent="0.2">
      <c r="A377" s="97">
        <v>375</v>
      </c>
      <c r="B377" s="101">
        <v>1198</v>
      </c>
      <c r="D377" s="97">
        <f t="shared" si="20"/>
        <v>375</v>
      </c>
      <c r="E377" s="97">
        <f t="shared" si="21"/>
        <v>381</v>
      </c>
      <c r="F377" s="97">
        <f t="shared" si="22"/>
        <v>14164</v>
      </c>
      <c r="G377" s="97">
        <f t="shared" si="23"/>
        <v>9164</v>
      </c>
    </row>
    <row r="378" spans="1:7" x14ac:dyDescent="0.2">
      <c r="A378" s="97">
        <v>376</v>
      </c>
      <c r="B378" s="101">
        <v>1389</v>
      </c>
      <c r="D378" s="97">
        <f t="shared" si="20"/>
        <v>376</v>
      </c>
      <c r="E378" s="97">
        <f t="shared" si="21"/>
        <v>382</v>
      </c>
      <c r="F378" s="97">
        <f t="shared" si="22"/>
        <v>14629</v>
      </c>
      <c r="G378" s="97">
        <f t="shared" si="23"/>
        <v>9629</v>
      </c>
    </row>
    <row r="379" spans="1:7" x14ac:dyDescent="0.2">
      <c r="A379" s="97">
        <v>377</v>
      </c>
      <c r="B379" s="101">
        <v>3184</v>
      </c>
      <c r="D379" s="97">
        <f t="shared" si="20"/>
        <v>377</v>
      </c>
      <c r="E379" s="97">
        <f t="shared" si="21"/>
        <v>383</v>
      </c>
      <c r="F379" s="97">
        <f t="shared" si="22"/>
        <v>15796</v>
      </c>
      <c r="G379" s="97">
        <f t="shared" si="23"/>
        <v>10796</v>
      </c>
    </row>
    <row r="380" spans="1:7" x14ac:dyDescent="0.2">
      <c r="A380" s="97">
        <v>378</v>
      </c>
      <c r="B380" s="101">
        <v>1534</v>
      </c>
      <c r="D380" s="97">
        <f t="shared" si="20"/>
        <v>378</v>
      </c>
      <c r="E380" s="97">
        <f t="shared" si="21"/>
        <v>384</v>
      </c>
      <c r="F380" s="97">
        <f t="shared" si="22"/>
        <v>14051</v>
      </c>
      <c r="G380" s="97">
        <f t="shared" si="23"/>
        <v>9051</v>
      </c>
    </row>
    <row r="381" spans="1:7" x14ac:dyDescent="0.2">
      <c r="A381" s="97">
        <v>379</v>
      </c>
      <c r="B381" s="101">
        <v>645</v>
      </c>
      <c r="D381" s="97">
        <f t="shared" si="20"/>
        <v>379</v>
      </c>
      <c r="E381" s="97">
        <f t="shared" si="21"/>
        <v>385</v>
      </c>
      <c r="F381" s="97">
        <f t="shared" si="22"/>
        <v>14531</v>
      </c>
      <c r="G381" s="97">
        <f t="shared" si="23"/>
        <v>9531</v>
      </c>
    </row>
    <row r="382" spans="1:7" x14ac:dyDescent="0.2">
      <c r="A382" s="97">
        <v>380</v>
      </c>
      <c r="B382" s="101">
        <v>2283</v>
      </c>
      <c r="D382" s="97">
        <f t="shared" si="20"/>
        <v>380</v>
      </c>
      <c r="E382" s="97">
        <f t="shared" si="21"/>
        <v>386</v>
      </c>
      <c r="F382" s="97">
        <f t="shared" si="22"/>
        <v>16074</v>
      </c>
      <c r="G382" s="97">
        <f t="shared" si="23"/>
        <v>11074</v>
      </c>
    </row>
    <row r="383" spans="1:7" x14ac:dyDescent="0.2">
      <c r="A383" s="97">
        <v>381</v>
      </c>
      <c r="B383" s="101">
        <v>3931</v>
      </c>
      <c r="D383" s="97">
        <f t="shared" si="20"/>
        <v>381</v>
      </c>
      <c r="E383" s="97">
        <f t="shared" si="21"/>
        <v>387</v>
      </c>
      <c r="F383" s="97">
        <f t="shared" si="22"/>
        <v>16091</v>
      </c>
      <c r="G383" s="97">
        <f t="shared" si="23"/>
        <v>11091</v>
      </c>
    </row>
    <row r="384" spans="1:7" x14ac:dyDescent="0.2">
      <c r="A384" s="97">
        <v>382</v>
      </c>
      <c r="B384" s="101">
        <v>1663</v>
      </c>
      <c r="D384" s="97">
        <f t="shared" si="20"/>
        <v>382</v>
      </c>
      <c r="E384" s="97">
        <f t="shared" si="21"/>
        <v>388</v>
      </c>
      <c r="F384" s="97">
        <f t="shared" si="22"/>
        <v>12613</v>
      </c>
      <c r="G384" s="97">
        <f t="shared" si="23"/>
        <v>7613</v>
      </c>
    </row>
    <row r="385" spans="1:7" x14ac:dyDescent="0.2">
      <c r="A385" s="97">
        <v>383</v>
      </c>
      <c r="B385" s="101">
        <v>2556</v>
      </c>
      <c r="D385" s="97">
        <f t="shared" si="20"/>
        <v>383</v>
      </c>
      <c r="E385" s="97">
        <f t="shared" si="21"/>
        <v>389</v>
      </c>
      <c r="F385" s="97">
        <f t="shared" si="22"/>
        <v>13169</v>
      </c>
      <c r="G385" s="97">
        <f t="shared" si="23"/>
        <v>8169</v>
      </c>
    </row>
    <row r="386" spans="1:7" x14ac:dyDescent="0.2">
      <c r="A386" s="97">
        <v>384</v>
      </c>
      <c r="B386" s="101">
        <v>1439</v>
      </c>
      <c r="D386" s="97">
        <f t="shared" si="20"/>
        <v>384</v>
      </c>
      <c r="E386" s="97">
        <f t="shared" si="21"/>
        <v>390</v>
      </c>
      <c r="F386" s="97">
        <f t="shared" si="22"/>
        <v>14343</v>
      </c>
      <c r="G386" s="97">
        <f t="shared" si="23"/>
        <v>9343</v>
      </c>
    </row>
    <row r="387" spans="1:7" x14ac:dyDescent="0.2">
      <c r="A387" s="97">
        <v>385</v>
      </c>
      <c r="B387" s="101">
        <v>2014</v>
      </c>
      <c r="D387" s="97">
        <f t="shared" si="20"/>
        <v>385</v>
      </c>
      <c r="E387" s="97">
        <f t="shared" si="21"/>
        <v>391</v>
      </c>
      <c r="F387" s="97">
        <f t="shared" si="22"/>
        <v>15405</v>
      </c>
      <c r="G387" s="97">
        <f t="shared" si="23"/>
        <v>10405</v>
      </c>
    </row>
    <row r="388" spans="1:7" x14ac:dyDescent="0.2">
      <c r="A388" s="97">
        <v>386</v>
      </c>
      <c r="B388" s="101">
        <v>2188</v>
      </c>
      <c r="D388" s="97">
        <f t="shared" ref="D388:D451" si="24">A388</f>
        <v>386</v>
      </c>
      <c r="E388" s="97">
        <f t="shared" ref="E388:E451" si="25">A394</f>
        <v>392</v>
      </c>
      <c r="F388" s="97">
        <f t="shared" ref="F388:F451" si="26">SUM(B388:B394)</f>
        <v>14727</v>
      </c>
      <c r="G388" s="97">
        <f t="shared" ref="G388:G451" si="27">MAX(F388-$J$5,0)</f>
        <v>9727</v>
      </c>
    </row>
    <row r="389" spans="1:7" x14ac:dyDescent="0.2">
      <c r="A389" s="97">
        <v>387</v>
      </c>
      <c r="B389" s="101">
        <v>2300</v>
      </c>
      <c r="D389" s="97">
        <f t="shared" si="24"/>
        <v>387</v>
      </c>
      <c r="E389" s="97">
        <f t="shared" si="25"/>
        <v>393</v>
      </c>
      <c r="F389" s="97">
        <f t="shared" si="26"/>
        <v>15050</v>
      </c>
      <c r="G389" s="97">
        <f t="shared" si="27"/>
        <v>10050</v>
      </c>
    </row>
    <row r="390" spans="1:7" x14ac:dyDescent="0.2">
      <c r="A390" s="97">
        <v>388</v>
      </c>
      <c r="B390" s="101">
        <v>453</v>
      </c>
      <c r="D390" s="97">
        <f t="shared" si="24"/>
        <v>388</v>
      </c>
      <c r="E390" s="97">
        <f t="shared" si="25"/>
        <v>394</v>
      </c>
      <c r="F390" s="97">
        <f t="shared" si="26"/>
        <v>13711</v>
      </c>
      <c r="G390" s="97">
        <f t="shared" si="27"/>
        <v>8711</v>
      </c>
    </row>
    <row r="391" spans="1:7" x14ac:dyDescent="0.2">
      <c r="A391" s="97">
        <v>389</v>
      </c>
      <c r="B391" s="101">
        <v>2219</v>
      </c>
      <c r="D391" s="97">
        <f t="shared" si="24"/>
        <v>389</v>
      </c>
      <c r="E391" s="97">
        <f t="shared" si="25"/>
        <v>395</v>
      </c>
      <c r="F391" s="97">
        <f t="shared" si="26"/>
        <v>15676</v>
      </c>
      <c r="G391" s="97">
        <f t="shared" si="27"/>
        <v>10676</v>
      </c>
    </row>
    <row r="392" spans="1:7" x14ac:dyDescent="0.2">
      <c r="A392" s="97">
        <v>390</v>
      </c>
      <c r="B392" s="101">
        <v>3730</v>
      </c>
      <c r="D392" s="97">
        <f t="shared" si="24"/>
        <v>390</v>
      </c>
      <c r="E392" s="97">
        <f t="shared" si="25"/>
        <v>396</v>
      </c>
      <c r="F392" s="97">
        <f t="shared" si="26"/>
        <v>15916</v>
      </c>
      <c r="G392" s="97">
        <f t="shared" si="27"/>
        <v>10916</v>
      </c>
    </row>
    <row r="393" spans="1:7" x14ac:dyDescent="0.2">
      <c r="A393" s="97">
        <v>391</v>
      </c>
      <c r="B393" s="101">
        <v>2501</v>
      </c>
      <c r="D393" s="97">
        <f t="shared" si="24"/>
        <v>391</v>
      </c>
      <c r="E393" s="97">
        <f t="shared" si="25"/>
        <v>397</v>
      </c>
      <c r="F393" s="97">
        <f t="shared" si="26"/>
        <v>13321</v>
      </c>
      <c r="G393" s="97">
        <f t="shared" si="27"/>
        <v>8321</v>
      </c>
    </row>
    <row r="394" spans="1:7" x14ac:dyDescent="0.2">
      <c r="A394" s="97">
        <v>392</v>
      </c>
      <c r="B394" s="101">
        <v>1336</v>
      </c>
      <c r="D394" s="97">
        <f t="shared" si="24"/>
        <v>392</v>
      </c>
      <c r="E394" s="97">
        <f t="shared" si="25"/>
        <v>398</v>
      </c>
      <c r="F394" s="97">
        <f t="shared" si="26"/>
        <v>14243</v>
      </c>
      <c r="G394" s="97">
        <f t="shared" si="27"/>
        <v>9243</v>
      </c>
    </row>
    <row r="395" spans="1:7" x14ac:dyDescent="0.2">
      <c r="A395" s="97">
        <v>393</v>
      </c>
      <c r="B395" s="101">
        <v>2511</v>
      </c>
      <c r="D395" s="97">
        <f t="shared" si="24"/>
        <v>393</v>
      </c>
      <c r="E395" s="97">
        <f t="shared" si="25"/>
        <v>399</v>
      </c>
      <c r="F395" s="97">
        <f t="shared" si="26"/>
        <v>13545</v>
      </c>
      <c r="G395" s="97">
        <f t="shared" si="27"/>
        <v>8545</v>
      </c>
    </row>
    <row r="396" spans="1:7" x14ac:dyDescent="0.2">
      <c r="A396" s="97">
        <v>394</v>
      </c>
      <c r="B396" s="101">
        <v>961</v>
      </c>
      <c r="D396" s="97">
        <f t="shared" si="24"/>
        <v>394</v>
      </c>
      <c r="E396" s="97">
        <f t="shared" si="25"/>
        <v>400</v>
      </c>
      <c r="F396" s="97">
        <f t="shared" si="26"/>
        <v>13533</v>
      </c>
      <c r="G396" s="97">
        <f t="shared" si="27"/>
        <v>8533</v>
      </c>
    </row>
    <row r="397" spans="1:7" x14ac:dyDescent="0.2">
      <c r="A397" s="97">
        <v>395</v>
      </c>
      <c r="B397" s="101">
        <v>2418</v>
      </c>
      <c r="D397" s="97">
        <f t="shared" si="24"/>
        <v>395</v>
      </c>
      <c r="E397" s="97">
        <f t="shared" si="25"/>
        <v>401</v>
      </c>
      <c r="F397" s="97">
        <f t="shared" si="26"/>
        <v>13720</v>
      </c>
      <c r="G397" s="97">
        <f t="shared" si="27"/>
        <v>8720</v>
      </c>
    </row>
    <row r="398" spans="1:7" x14ac:dyDescent="0.2">
      <c r="A398" s="97">
        <v>396</v>
      </c>
      <c r="B398" s="101">
        <v>2459</v>
      </c>
      <c r="D398" s="97">
        <f t="shared" si="24"/>
        <v>396</v>
      </c>
      <c r="E398" s="97">
        <f t="shared" si="25"/>
        <v>402</v>
      </c>
      <c r="F398" s="97">
        <f t="shared" si="26"/>
        <v>13870</v>
      </c>
      <c r="G398" s="97">
        <f t="shared" si="27"/>
        <v>8870</v>
      </c>
    </row>
    <row r="399" spans="1:7" x14ac:dyDescent="0.2">
      <c r="A399" s="97">
        <v>397</v>
      </c>
      <c r="B399" s="101">
        <v>1135</v>
      </c>
      <c r="D399" s="97">
        <f t="shared" si="24"/>
        <v>397</v>
      </c>
      <c r="E399" s="97">
        <f t="shared" si="25"/>
        <v>403</v>
      </c>
      <c r="F399" s="97">
        <f t="shared" si="26"/>
        <v>15021</v>
      </c>
      <c r="G399" s="97">
        <f t="shared" si="27"/>
        <v>10021</v>
      </c>
    </row>
    <row r="400" spans="1:7" x14ac:dyDescent="0.2">
      <c r="A400" s="97">
        <v>398</v>
      </c>
      <c r="B400" s="101">
        <v>3423</v>
      </c>
      <c r="D400" s="97">
        <f t="shared" si="24"/>
        <v>398</v>
      </c>
      <c r="E400" s="97">
        <f t="shared" si="25"/>
        <v>404</v>
      </c>
      <c r="F400" s="97">
        <f t="shared" si="26"/>
        <v>14337</v>
      </c>
      <c r="G400" s="97">
        <f t="shared" si="27"/>
        <v>9337</v>
      </c>
    </row>
    <row r="401" spans="1:7" x14ac:dyDescent="0.2">
      <c r="A401" s="97">
        <v>399</v>
      </c>
      <c r="B401" s="101">
        <v>638</v>
      </c>
      <c r="D401" s="97">
        <f t="shared" si="24"/>
        <v>399</v>
      </c>
      <c r="E401" s="97">
        <f t="shared" si="25"/>
        <v>405</v>
      </c>
      <c r="F401" s="97">
        <f t="shared" si="26"/>
        <v>13104</v>
      </c>
      <c r="G401" s="97">
        <f t="shared" si="27"/>
        <v>8104</v>
      </c>
    </row>
    <row r="402" spans="1:7" x14ac:dyDescent="0.2">
      <c r="A402" s="97">
        <v>400</v>
      </c>
      <c r="B402" s="101">
        <v>2499</v>
      </c>
      <c r="D402" s="97">
        <f t="shared" si="24"/>
        <v>400</v>
      </c>
      <c r="E402" s="97">
        <f t="shared" si="25"/>
        <v>406</v>
      </c>
      <c r="F402" s="97">
        <f t="shared" si="26"/>
        <v>15230</v>
      </c>
      <c r="G402" s="97">
        <f t="shared" si="27"/>
        <v>10230</v>
      </c>
    </row>
    <row r="403" spans="1:7" x14ac:dyDescent="0.2">
      <c r="A403" s="97">
        <v>401</v>
      </c>
      <c r="B403" s="101">
        <v>1148</v>
      </c>
      <c r="D403" s="97">
        <f t="shared" si="24"/>
        <v>401</v>
      </c>
      <c r="E403" s="97">
        <f t="shared" si="25"/>
        <v>407</v>
      </c>
      <c r="F403" s="97">
        <f t="shared" si="26"/>
        <v>14839</v>
      </c>
      <c r="G403" s="97">
        <f t="shared" si="27"/>
        <v>9839</v>
      </c>
    </row>
    <row r="404" spans="1:7" x14ac:dyDescent="0.2">
      <c r="A404" s="97">
        <v>402</v>
      </c>
      <c r="B404" s="101">
        <v>2568</v>
      </c>
      <c r="D404" s="97">
        <f t="shared" si="24"/>
        <v>402</v>
      </c>
      <c r="E404" s="97">
        <f t="shared" si="25"/>
        <v>408</v>
      </c>
      <c r="F404" s="97">
        <f t="shared" si="26"/>
        <v>15871</v>
      </c>
      <c r="G404" s="97">
        <f t="shared" si="27"/>
        <v>10871</v>
      </c>
    </row>
    <row r="405" spans="1:7" x14ac:dyDescent="0.2">
      <c r="A405" s="97">
        <v>403</v>
      </c>
      <c r="B405" s="101">
        <v>3610</v>
      </c>
      <c r="D405" s="97">
        <f t="shared" si="24"/>
        <v>403</v>
      </c>
      <c r="E405" s="97">
        <f t="shared" si="25"/>
        <v>409</v>
      </c>
      <c r="F405" s="97">
        <f t="shared" si="26"/>
        <v>13964</v>
      </c>
      <c r="G405" s="97">
        <f t="shared" si="27"/>
        <v>8964</v>
      </c>
    </row>
    <row r="406" spans="1:7" x14ac:dyDescent="0.2">
      <c r="A406" s="97">
        <v>404</v>
      </c>
      <c r="B406" s="101">
        <v>451</v>
      </c>
      <c r="D406" s="97">
        <f t="shared" si="24"/>
        <v>404</v>
      </c>
      <c r="E406" s="97">
        <f t="shared" si="25"/>
        <v>410</v>
      </c>
      <c r="F406" s="97">
        <f t="shared" si="26"/>
        <v>12718</v>
      </c>
      <c r="G406" s="97">
        <f t="shared" si="27"/>
        <v>7718</v>
      </c>
    </row>
    <row r="407" spans="1:7" x14ac:dyDescent="0.2">
      <c r="A407" s="97">
        <v>405</v>
      </c>
      <c r="B407" s="101">
        <v>2190</v>
      </c>
      <c r="D407" s="97">
        <f t="shared" si="24"/>
        <v>405</v>
      </c>
      <c r="E407" s="97">
        <f t="shared" si="25"/>
        <v>411</v>
      </c>
      <c r="F407" s="97">
        <f t="shared" si="26"/>
        <v>15485</v>
      </c>
      <c r="G407" s="97">
        <f t="shared" si="27"/>
        <v>10485</v>
      </c>
    </row>
    <row r="408" spans="1:7" x14ac:dyDescent="0.2">
      <c r="A408" s="97">
        <v>406</v>
      </c>
      <c r="B408" s="101">
        <v>2764</v>
      </c>
      <c r="D408" s="97">
        <f t="shared" si="24"/>
        <v>406</v>
      </c>
      <c r="E408" s="97">
        <f t="shared" si="25"/>
        <v>412</v>
      </c>
      <c r="F408" s="97">
        <f t="shared" si="26"/>
        <v>15450</v>
      </c>
      <c r="G408" s="97">
        <f t="shared" si="27"/>
        <v>10450</v>
      </c>
    </row>
    <row r="409" spans="1:7" x14ac:dyDescent="0.2">
      <c r="A409" s="97">
        <v>407</v>
      </c>
      <c r="B409" s="101">
        <v>2108</v>
      </c>
      <c r="D409" s="97">
        <f t="shared" si="24"/>
        <v>407</v>
      </c>
      <c r="E409" s="97">
        <f t="shared" si="25"/>
        <v>413</v>
      </c>
      <c r="F409" s="97">
        <f t="shared" si="26"/>
        <v>15129</v>
      </c>
      <c r="G409" s="97">
        <f t="shared" si="27"/>
        <v>10129</v>
      </c>
    </row>
    <row r="410" spans="1:7" x14ac:dyDescent="0.2">
      <c r="A410" s="97">
        <v>408</v>
      </c>
      <c r="B410" s="101">
        <v>2180</v>
      </c>
      <c r="D410" s="97">
        <f t="shared" si="24"/>
        <v>408</v>
      </c>
      <c r="E410" s="97">
        <f t="shared" si="25"/>
        <v>414</v>
      </c>
      <c r="F410" s="97">
        <f t="shared" si="26"/>
        <v>14762</v>
      </c>
      <c r="G410" s="97">
        <f t="shared" si="27"/>
        <v>9762</v>
      </c>
    </row>
    <row r="411" spans="1:7" x14ac:dyDescent="0.2">
      <c r="A411" s="97">
        <v>409</v>
      </c>
      <c r="B411" s="101">
        <v>661</v>
      </c>
      <c r="D411" s="97">
        <f t="shared" si="24"/>
        <v>409</v>
      </c>
      <c r="E411" s="97">
        <f t="shared" si="25"/>
        <v>415</v>
      </c>
      <c r="F411" s="97">
        <f t="shared" si="26"/>
        <v>14596</v>
      </c>
      <c r="G411" s="97">
        <f t="shared" si="27"/>
        <v>9596</v>
      </c>
    </row>
    <row r="412" spans="1:7" x14ac:dyDescent="0.2">
      <c r="A412" s="97">
        <v>410</v>
      </c>
      <c r="B412" s="101">
        <v>2364</v>
      </c>
      <c r="D412" s="97">
        <f t="shared" si="24"/>
        <v>410</v>
      </c>
      <c r="E412" s="97">
        <f t="shared" si="25"/>
        <v>416</v>
      </c>
      <c r="F412" s="97">
        <f t="shared" si="26"/>
        <v>15806</v>
      </c>
      <c r="G412" s="97">
        <f t="shared" si="27"/>
        <v>10806</v>
      </c>
    </row>
    <row r="413" spans="1:7" x14ac:dyDescent="0.2">
      <c r="A413" s="97">
        <v>411</v>
      </c>
      <c r="B413" s="101">
        <v>3218</v>
      </c>
      <c r="D413" s="97">
        <f t="shared" si="24"/>
        <v>411</v>
      </c>
      <c r="E413" s="97">
        <f t="shared" si="25"/>
        <v>417</v>
      </c>
      <c r="F413" s="97">
        <f t="shared" si="26"/>
        <v>15396</v>
      </c>
      <c r="G413" s="97">
        <f t="shared" si="27"/>
        <v>10396</v>
      </c>
    </row>
    <row r="414" spans="1:7" x14ac:dyDescent="0.2">
      <c r="A414" s="97">
        <v>412</v>
      </c>
      <c r="B414" s="101">
        <v>2155</v>
      </c>
      <c r="D414" s="97">
        <f t="shared" si="24"/>
        <v>412</v>
      </c>
      <c r="E414" s="97">
        <f t="shared" si="25"/>
        <v>418</v>
      </c>
      <c r="F414" s="97">
        <f t="shared" si="26"/>
        <v>12771</v>
      </c>
      <c r="G414" s="97">
        <f t="shared" si="27"/>
        <v>7771</v>
      </c>
    </row>
    <row r="415" spans="1:7" x14ac:dyDescent="0.2">
      <c r="A415" s="97">
        <v>413</v>
      </c>
      <c r="B415" s="101">
        <v>2443</v>
      </c>
      <c r="D415" s="97">
        <f t="shared" si="24"/>
        <v>413</v>
      </c>
      <c r="E415" s="97">
        <f t="shared" si="25"/>
        <v>419</v>
      </c>
      <c r="F415" s="97">
        <f t="shared" si="26"/>
        <v>11841</v>
      </c>
      <c r="G415" s="97">
        <f t="shared" si="27"/>
        <v>6841</v>
      </c>
    </row>
    <row r="416" spans="1:7" x14ac:dyDescent="0.2">
      <c r="A416" s="97">
        <v>414</v>
      </c>
      <c r="B416" s="101">
        <v>1741</v>
      </c>
      <c r="D416" s="97">
        <f t="shared" si="24"/>
        <v>414</v>
      </c>
      <c r="E416" s="97">
        <f t="shared" si="25"/>
        <v>420</v>
      </c>
      <c r="F416" s="97">
        <f t="shared" si="26"/>
        <v>11574</v>
      </c>
      <c r="G416" s="97">
        <f t="shared" si="27"/>
        <v>6574</v>
      </c>
    </row>
    <row r="417" spans="1:7" x14ac:dyDescent="0.2">
      <c r="A417" s="97">
        <v>415</v>
      </c>
      <c r="B417" s="101">
        <v>2014</v>
      </c>
      <c r="D417" s="97">
        <f t="shared" si="24"/>
        <v>415</v>
      </c>
      <c r="E417" s="97">
        <f t="shared" si="25"/>
        <v>421</v>
      </c>
      <c r="F417" s="97">
        <f t="shared" si="26"/>
        <v>12181</v>
      </c>
      <c r="G417" s="97">
        <f t="shared" si="27"/>
        <v>7181</v>
      </c>
    </row>
    <row r="418" spans="1:7" x14ac:dyDescent="0.2">
      <c r="A418" s="97">
        <v>416</v>
      </c>
      <c r="B418" s="101">
        <v>1871</v>
      </c>
      <c r="D418" s="97">
        <f t="shared" si="24"/>
        <v>416</v>
      </c>
      <c r="E418" s="97">
        <f t="shared" si="25"/>
        <v>422</v>
      </c>
      <c r="F418" s="97">
        <f t="shared" si="26"/>
        <v>12708</v>
      </c>
      <c r="G418" s="97">
        <f t="shared" si="27"/>
        <v>7708</v>
      </c>
    </row>
    <row r="419" spans="1:7" x14ac:dyDescent="0.2">
      <c r="A419" s="97">
        <v>417</v>
      </c>
      <c r="B419" s="101">
        <v>1954</v>
      </c>
      <c r="D419" s="97">
        <f t="shared" si="24"/>
        <v>417</v>
      </c>
      <c r="E419" s="97">
        <f t="shared" si="25"/>
        <v>423</v>
      </c>
      <c r="F419" s="97">
        <f t="shared" si="26"/>
        <v>12068</v>
      </c>
      <c r="G419" s="97">
        <f t="shared" si="27"/>
        <v>7068</v>
      </c>
    </row>
    <row r="420" spans="1:7" x14ac:dyDescent="0.2">
      <c r="A420" s="97">
        <v>418</v>
      </c>
      <c r="B420" s="101">
        <v>593</v>
      </c>
      <c r="D420" s="97">
        <f t="shared" si="24"/>
        <v>418</v>
      </c>
      <c r="E420" s="97">
        <f t="shared" si="25"/>
        <v>424</v>
      </c>
      <c r="F420" s="97">
        <f t="shared" si="26"/>
        <v>12454</v>
      </c>
      <c r="G420" s="97">
        <f t="shared" si="27"/>
        <v>7454</v>
      </c>
    </row>
    <row r="421" spans="1:7" x14ac:dyDescent="0.2">
      <c r="A421" s="97">
        <v>419</v>
      </c>
      <c r="B421" s="101">
        <v>1225</v>
      </c>
      <c r="D421" s="97">
        <f t="shared" si="24"/>
        <v>419</v>
      </c>
      <c r="E421" s="97">
        <f t="shared" si="25"/>
        <v>425</v>
      </c>
      <c r="F421" s="97">
        <f t="shared" si="26"/>
        <v>13170</v>
      </c>
      <c r="G421" s="97">
        <f t="shared" si="27"/>
        <v>8170</v>
      </c>
    </row>
    <row r="422" spans="1:7" x14ac:dyDescent="0.2">
      <c r="A422" s="97">
        <v>420</v>
      </c>
      <c r="B422" s="101">
        <v>2176</v>
      </c>
      <c r="D422" s="97">
        <f t="shared" si="24"/>
        <v>420</v>
      </c>
      <c r="E422" s="97">
        <f t="shared" si="25"/>
        <v>426</v>
      </c>
      <c r="F422" s="97">
        <f t="shared" si="26"/>
        <v>13288</v>
      </c>
      <c r="G422" s="97">
        <f t="shared" si="27"/>
        <v>8288</v>
      </c>
    </row>
    <row r="423" spans="1:7" x14ac:dyDescent="0.2">
      <c r="A423" s="97">
        <v>421</v>
      </c>
      <c r="B423" s="101">
        <v>2348</v>
      </c>
      <c r="D423" s="97">
        <f t="shared" si="24"/>
        <v>421</v>
      </c>
      <c r="E423" s="97">
        <f t="shared" si="25"/>
        <v>427</v>
      </c>
      <c r="F423" s="97">
        <f t="shared" si="26"/>
        <v>13072</v>
      </c>
      <c r="G423" s="97">
        <f t="shared" si="27"/>
        <v>8072</v>
      </c>
    </row>
    <row r="424" spans="1:7" x14ac:dyDescent="0.2">
      <c r="A424" s="97">
        <v>422</v>
      </c>
      <c r="B424" s="101">
        <v>2541</v>
      </c>
      <c r="D424" s="97">
        <f t="shared" si="24"/>
        <v>422</v>
      </c>
      <c r="E424" s="97">
        <f t="shared" si="25"/>
        <v>428</v>
      </c>
      <c r="F424" s="97">
        <f t="shared" si="26"/>
        <v>13084</v>
      </c>
      <c r="G424" s="97">
        <f t="shared" si="27"/>
        <v>8084</v>
      </c>
    </row>
    <row r="425" spans="1:7" x14ac:dyDescent="0.2">
      <c r="A425" s="97">
        <v>423</v>
      </c>
      <c r="B425" s="101">
        <v>1231</v>
      </c>
      <c r="D425" s="97">
        <f t="shared" si="24"/>
        <v>423</v>
      </c>
      <c r="E425" s="97">
        <f t="shared" si="25"/>
        <v>429</v>
      </c>
      <c r="F425" s="97">
        <f t="shared" si="26"/>
        <v>12354</v>
      </c>
      <c r="G425" s="97">
        <f t="shared" si="27"/>
        <v>7354</v>
      </c>
    </row>
    <row r="426" spans="1:7" x14ac:dyDescent="0.2">
      <c r="A426" s="97">
        <v>424</v>
      </c>
      <c r="B426" s="101">
        <v>2340</v>
      </c>
      <c r="D426" s="97">
        <f t="shared" si="24"/>
        <v>424</v>
      </c>
      <c r="E426" s="97">
        <f t="shared" si="25"/>
        <v>430</v>
      </c>
      <c r="F426" s="97">
        <f t="shared" si="26"/>
        <v>13267</v>
      </c>
      <c r="G426" s="97">
        <f t="shared" si="27"/>
        <v>8267</v>
      </c>
    </row>
    <row r="427" spans="1:7" x14ac:dyDescent="0.2">
      <c r="A427" s="97">
        <v>425</v>
      </c>
      <c r="B427" s="101">
        <v>1309</v>
      </c>
      <c r="D427" s="97">
        <f t="shared" si="24"/>
        <v>425</v>
      </c>
      <c r="E427" s="97">
        <f t="shared" si="25"/>
        <v>431</v>
      </c>
      <c r="F427" s="97">
        <f t="shared" si="26"/>
        <v>13333</v>
      </c>
      <c r="G427" s="97">
        <f t="shared" si="27"/>
        <v>8333</v>
      </c>
    </row>
    <row r="428" spans="1:7" x14ac:dyDescent="0.2">
      <c r="A428" s="97">
        <v>426</v>
      </c>
      <c r="B428" s="101">
        <v>1343</v>
      </c>
      <c r="D428" s="97">
        <f t="shared" si="24"/>
        <v>426</v>
      </c>
      <c r="E428" s="97">
        <f t="shared" si="25"/>
        <v>432</v>
      </c>
      <c r="F428" s="97">
        <f t="shared" si="26"/>
        <v>13870</v>
      </c>
      <c r="G428" s="97">
        <f t="shared" si="27"/>
        <v>8870</v>
      </c>
    </row>
    <row r="429" spans="1:7" x14ac:dyDescent="0.2">
      <c r="A429" s="97">
        <v>427</v>
      </c>
      <c r="B429" s="101">
        <v>1960</v>
      </c>
      <c r="D429" s="97">
        <f t="shared" si="24"/>
        <v>427</v>
      </c>
      <c r="E429" s="97">
        <f t="shared" si="25"/>
        <v>433</v>
      </c>
      <c r="F429" s="97">
        <f t="shared" si="26"/>
        <v>15045</v>
      </c>
      <c r="G429" s="97">
        <f t="shared" si="27"/>
        <v>10045</v>
      </c>
    </row>
    <row r="430" spans="1:7" x14ac:dyDescent="0.2">
      <c r="A430" s="97">
        <v>428</v>
      </c>
      <c r="B430" s="101">
        <v>2360</v>
      </c>
      <c r="D430" s="97">
        <f t="shared" si="24"/>
        <v>428</v>
      </c>
      <c r="E430" s="97">
        <f t="shared" si="25"/>
        <v>434</v>
      </c>
      <c r="F430" s="97">
        <f t="shared" si="26"/>
        <v>15356</v>
      </c>
      <c r="G430" s="97">
        <f t="shared" si="27"/>
        <v>10356</v>
      </c>
    </row>
    <row r="431" spans="1:7" x14ac:dyDescent="0.2">
      <c r="A431" s="97">
        <v>429</v>
      </c>
      <c r="B431" s="101">
        <v>1811</v>
      </c>
      <c r="D431" s="97">
        <f t="shared" si="24"/>
        <v>429</v>
      </c>
      <c r="E431" s="97">
        <f t="shared" si="25"/>
        <v>435</v>
      </c>
      <c r="F431" s="97">
        <f t="shared" si="26"/>
        <v>13711</v>
      </c>
      <c r="G431" s="97">
        <f t="shared" si="27"/>
        <v>8711</v>
      </c>
    </row>
    <row r="432" spans="1:7" x14ac:dyDescent="0.2">
      <c r="A432" s="97">
        <v>430</v>
      </c>
      <c r="B432" s="101">
        <v>2144</v>
      </c>
      <c r="D432" s="97">
        <f t="shared" si="24"/>
        <v>430</v>
      </c>
      <c r="E432" s="97">
        <f t="shared" si="25"/>
        <v>436</v>
      </c>
      <c r="F432" s="97">
        <f t="shared" si="26"/>
        <v>15146</v>
      </c>
      <c r="G432" s="97">
        <f t="shared" si="27"/>
        <v>10146</v>
      </c>
    </row>
    <row r="433" spans="1:7" x14ac:dyDescent="0.2">
      <c r="A433" s="97">
        <v>431</v>
      </c>
      <c r="B433" s="101">
        <v>2406</v>
      </c>
      <c r="D433" s="97">
        <f t="shared" si="24"/>
        <v>431</v>
      </c>
      <c r="E433" s="97">
        <f t="shared" si="25"/>
        <v>437</v>
      </c>
      <c r="F433" s="97">
        <f t="shared" si="26"/>
        <v>16200</v>
      </c>
      <c r="G433" s="97">
        <f t="shared" si="27"/>
        <v>11200</v>
      </c>
    </row>
    <row r="434" spans="1:7" x14ac:dyDescent="0.2">
      <c r="A434" s="97">
        <v>432</v>
      </c>
      <c r="B434" s="101">
        <v>1846</v>
      </c>
      <c r="D434" s="97">
        <f t="shared" si="24"/>
        <v>432</v>
      </c>
      <c r="E434" s="97">
        <f t="shared" si="25"/>
        <v>438</v>
      </c>
      <c r="F434" s="97">
        <f t="shared" si="26"/>
        <v>15784</v>
      </c>
      <c r="G434" s="97">
        <f t="shared" si="27"/>
        <v>10784</v>
      </c>
    </row>
    <row r="435" spans="1:7" x14ac:dyDescent="0.2">
      <c r="A435" s="97">
        <v>433</v>
      </c>
      <c r="B435" s="101">
        <v>2518</v>
      </c>
      <c r="D435" s="97">
        <f t="shared" si="24"/>
        <v>433</v>
      </c>
      <c r="E435" s="97">
        <f t="shared" si="25"/>
        <v>439</v>
      </c>
      <c r="F435" s="97">
        <f t="shared" si="26"/>
        <v>15936</v>
      </c>
      <c r="G435" s="97">
        <f t="shared" si="27"/>
        <v>10936</v>
      </c>
    </row>
    <row r="436" spans="1:7" x14ac:dyDescent="0.2">
      <c r="A436" s="97">
        <v>434</v>
      </c>
      <c r="B436" s="101">
        <v>2271</v>
      </c>
      <c r="D436" s="97">
        <f t="shared" si="24"/>
        <v>434</v>
      </c>
      <c r="E436" s="97">
        <f t="shared" si="25"/>
        <v>440</v>
      </c>
      <c r="F436" s="97">
        <f t="shared" si="26"/>
        <v>15399</v>
      </c>
      <c r="G436" s="97">
        <f t="shared" si="27"/>
        <v>10399</v>
      </c>
    </row>
    <row r="437" spans="1:7" x14ac:dyDescent="0.2">
      <c r="A437" s="97">
        <v>435</v>
      </c>
      <c r="B437" s="101">
        <v>715</v>
      </c>
      <c r="D437" s="97">
        <f t="shared" si="24"/>
        <v>435</v>
      </c>
      <c r="E437" s="97">
        <f t="shared" si="25"/>
        <v>441</v>
      </c>
      <c r="F437" s="97">
        <f t="shared" si="26"/>
        <v>14539</v>
      </c>
      <c r="G437" s="97">
        <f t="shared" si="27"/>
        <v>9539</v>
      </c>
    </row>
    <row r="438" spans="1:7" x14ac:dyDescent="0.2">
      <c r="A438" s="97">
        <v>436</v>
      </c>
      <c r="B438" s="101">
        <v>3246</v>
      </c>
      <c r="D438" s="97">
        <f t="shared" si="24"/>
        <v>436</v>
      </c>
      <c r="E438" s="97">
        <f t="shared" si="25"/>
        <v>442</v>
      </c>
      <c r="F438" s="97">
        <f t="shared" si="26"/>
        <v>14920</v>
      </c>
      <c r="G438" s="97">
        <f t="shared" si="27"/>
        <v>9920</v>
      </c>
    </row>
    <row r="439" spans="1:7" x14ac:dyDescent="0.2">
      <c r="A439" s="97">
        <v>437</v>
      </c>
      <c r="B439" s="101">
        <v>3198</v>
      </c>
      <c r="D439" s="97">
        <f t="shared" si="24"/>
        <v>437</v>
      </c>
      <c r="E439" s="97">
        <f t="shared" si="25"/>
        <v>443</v>
      </c>
      <c r="F439" s="97">
        <f t="shared" si="26"/>
        <v>12274</v>
      </c>
      <c r="G439" s="97">
        <f t="shared" si="27"/>
        <v>7274</v>
      </c>
    </row>
    <row r="440" spans="1:7" x14ac:dyDescent="0.2">
      <c r="A440" s="97">
        <v>438</v>
      </c>
      <c r="B440" s="101">
        <v>1990</v>
      </c>
      <c r="D440" s="97">
        <f t="shared" si="24"/>
        <v>438</v>
      </c>
      <c r="E440" s="97">
        <f t="shared" si="25"/>
        <v>444</v>
      </c>
      <c r="F440" s="97">
        <f t="shared" si="26"/>
        <v>10852</v>
      </c>
      <c r="G440" s="97">
        <f t="shared" si="27"/>
        <v>5852</v>
      </c>
    </row>
    <row r="441" spans="1:7" x14ac:dyDescent="0.2">
      <c r="A441" s="97">
        <v>439</v>
      </c>
      <c r="B441" s="101">
        <v>1998</v>
      </c>
      <c r="D441" s="97">
        <f t="shared" si="24"/>
        <v>439</v>
      </c>
      <c r="E441" s="97">
        <f t="shared" si="25"/>
        <v>445</v>
      </c>
      <c r="F441" s="97">
        <f t="shared" si="26"/>
        <v>10087</v>
      </c>
      <c r="G441" s="97">
        <f t="shared" si="27"/>
        <v>5087</v>
      </c>
    </row>
    <row r="442" spans="1:7" x14ac:dyDescent="0.2">
      <c r="A442" s="97">
        <v>440</v>
      </c>
      <c r="B442" s="101">
        <v>1981</v>
      </c>
      <c r="D442" s="97">
        <f t="shared" si="24"/>
        <v>440</v>
      </c>
      <c r="E442" s="97">
        <f t="shared" si="25"/>
        <v>446</v>
      </c>
      <c r="F442" s="97">
        <f t="shared" si="26"/>
        <v>10735</v>
      </c>
      <c r="G442" s="97">
        <f t="shared" si="27"/>
        <v>5735</v>
      </c>
    </row>
    <row r="443" spans="1:7" x14ac:dyDescent="0.2">
      <c r="A443" s="97">
        <v>441</v>
      </c>
      <c r="B443" s="101">
        <v>1411</v>
      </c>
      <c r="D443" s="97">
        <f t="shared" si="24"/>
        <v>441</v>
      </c>
      <c r="E443" s="97">
        <f t="shared" si="25"/>
        <v>447</v>
      </c>
      <c r="F443" s="97">
        <f t="shared" si="26"/>
        <v>10492</v>
      </c>
      <c r="G443" s="97">
        <f t="shared" si="27"/>
        <v>5492</v>
      </c>
    </row>
    <row r="444" spans="1:7" x14ac:dyDescent="0.2">
      <c r="A444" s="97">
        <v>442</v>
      </c>
      <c r="B444" s="101">
        <v>1096</v>
      </c>
      <c r="D444" s="97">
        <f t="shared" si="24"/>
        <v>442</v>
      </c>
      <c r="E444" s="97">
        <f t="shared" si="25"/>
        <v>448</v>
      </c>
      <c r="F444" s="97">
        <f t="shared" si="26"/>
        <v>10677</v>
      </c>
      <c r="G444" s="97">
        <f t="shared" si="27"/>
        <v>5677</v>
      </c>
    </row>
    <row r="445" spans="1:7" x14ac:dyDescent="0.2">
      <c r="A445" s="97">
        <v>443</v>
      </c>
      <c r="B445" s="101">
        <v>600</v>
      </c>
      <c r="D445" s="97">
        <f t="shared" si="24"/>
        <v>443</v>
      </c>
      <c r="E445" s="97">
        <f t="shared" si="25"/>
        <v>449</v>
      </c>
      <c r="F445" s="97">
        <f t="shared" si="26"/>
        <v>12284</v>
      </c>
      <c r="G445" s="97">
        <f t="shared" si="27"/>
        <v>7284</v>
      </c>
    </row>
    <row r="446" spans="1:7" x14ac:dyDescent="0.2">
      <c r="A446" s="97">
        <v>444</v>
      </c>
      <c r="B446" s="101">
        <v>1776</v>
      </c>
      <c r="D446" s="97">
        <f t="shared" si="24"/>
        <v>444</v>
      </c>
      <c r="E446" s="97">
        <f t="shared" si="25"/>
        <v>450</v>
      </c>
      <c r="F446" s="97">
        <f t="shared" si="26"/>
        <v>13835</v>
      </c>
      <c r="G446" s="97">
        <f t="shared" si="27"/>
        <v>8835</v>
      </c>
    </row>
    <row r="447" spans="1:7" x14ac:dyDescent="0.2">
      <c r="A447" s="97">
        <v>445</v>
      </c>
      <c r="B447" s="101">
        <v>1225</v>
      </c>
      <c r="D447" s="97">
        <f t="shared" si="24"/>
        <v>445</v>
      </c>
      <c r="E447" s="97">
        <f t="shared" si="25"/>
        <v>451</v>
      </c>
      <c r="F447" s="97">
        <f t="shared" si="26"/>
        <v>14797</v>
      </c>
      <c r="G447" s="97">
        <f t="shared" si="27"/>
        <v>9797</v>
      </c>
    </row>
    <row r="448" spans="1:7" x14ac:dyDescent="0.2">
      <c r="A448" s="97">
        <v>446</v>
      </c>
      <c r="B448" s="101">
        <v>2646</v>
      </c>
      <c r="D448" s="97">
        <f t="shared" si="24"/>
        <v>446</v>
      </c>
      <c r="E448" s="97">
        <f t="shared" si="25"/>
        <v>452</v>
      </c>
      <c r="F448" s="97">
        <f t="shared" si="26"/>
        <v>14528</v>
      </c>
      <c r="G448" s="97">
        <f t="shared" si="27"/>
        <v>9528</v>
      </c>
    </row>
    <row r="449" spans="1:7" x14ac:dyDescent="0.2">
      <c r="A449" s="97">
        <v>447</v>
      </c>
      <c r="B449" s="101">
        <v>1738</v>
      </c>
      <c r="D449" s="97">
        <f t="shared" si="24"/>
        <v>447</v>
      </c>
      <c r="E449" s="97">
        <f t="shared" si="25"/>
        <v>453</v>
      </c>
      <c r="F449" s="97">
        <f t="shared" si="26"/>
        <v>14438</v>
      </c>
      <c r="G449" s="97">
        <f t="shared" si="27"/>
        <v>9438</v>
      </c>
    </row>
    <row r="450" spans="1:7" x14ac:dyDescent="0.2">
      <c r="A450" s="97">
        <v>448</v>
      </c>
      <c r="B450" s="101">
        <v>1596</v>
      </c>
      <c r="D450" s="97">
        <f t="shared" si="24"/>
        <v>448</v>
      </c>
      <c r="E450" s="97">
        <f t="shared" si="25"/>
        <v>454</v>
      </c>
      <c r="F450" s="97">
        <f t="shared" si="26"/>
        <v>13689</v>
      </c>
      <c r="G450" s="97">
        <f t="shared" si="27"/>
        <v>8689</v>
      </c>
    </row>
    <row r="451" spans="1:7" x14ac:dyDescent="0.2">
      <c r="A451" s="97">
        <v>449</v>
      </c>
      <c r="B451" s="101">
        <v>2703</v>
      </c>
      <c r="D451" s="97">
        <f t="shared" si="24"/>
        <v>449</v>
      </c>
      <c r="E451" s="97">
        <f t="shared" si="25"/>
        <v>455</v>
      </c>
      <c r="F451" s="97">
        <f t="shared" si="26"/>
        <v>13619</v>
      </c>
      <c r="G451" s="97">
        <f t="shared" si="27"/>
        <v>8619</v>
      </c>
    </row>
    <row r="452" spans="1:7" x14ac:dyDescent="0.2">
      <c r="A452" s="97">
        <v>450</v>
      </c>
      <c r="B452" s="101">
        <v>2151</v>
      </c>
      <c r="D452" s="97">
        <f t="shared" ref="D452:D515" si="28">A452</f>
        <v>450</v>
      </c>
      <c r="E452" s="97">
        <f t="shared" ref="E452:E515" si="29">A458</f>
        <v>456</v>
      </c>
      <c r="F452" s="97">
        <f t="shared" ref="F452:F515" si="30">SUM(B452:B458)</f>
        <v>12126</v>
      </c>
      <c r="G452" s="97">
        <f t="shared" ref="G452:G515" si="31">MAX(F452-$J$5,0)</f>
        <v>7126</v>
      </c>
    </row>
    <row r="453" spans="1:7" x14ac:dyDescent="0.2">
      <c r="A453" s="97">
        <v>451</v>
      </c>
      <c r="B453" s="101">
        <v>2738</v>
      </c>
      <c r="D453" s="97">
        <f t="shared" si="28"/>
        <v>451</v>
      </c>
      <c r="E453" s="97">
        <f t="shared" si="29"/>
        <v>457</v>
      </c>
      <c r="F453" s="97">
        <f t="shared" si="30"/>
        <v>11958</v>
      </c>
      <c r="G453" s="97">
        <f t="shared" si="31"/>
        <v>6958</v>
      </c>
    </row>
    <row r="454" spans="1:7" x14ac:dyDescent="0.2">
      <c r="A454" s="97">
        <v>452</v>
      </c>
      <c r="B454" s="101">
        <v>956</v>
      </c>
      <c r="D454" s="97">
        <f t="shared" si="28"/>
        <v>452</v>
      </c>
      <c r="E454" s="97">
        <f t="shared" si="29"/>
        <v>458</v>
      </c>
      <c r="F454" s="97">
        <f t="shared" si="30"/>
        <v>11274</v>
      </c>
      <c r="G454" s="97">
        <f t="shared" si="31"/>
        <v>6274</v>
      </c>
    </row>
    <row r="455" spans="1:7" x14ac:dyDescent="0.2">
      <c r="A455" s="97">
        <v>453</v>
      </c>
      <c r="B455" s="101">
        <v>2556</v>
      </c>
      <c r="D455" s="97">
        <f t="shared" si="28"/>
        <v>453</v>
      </c>
      <c r="E455" s="97">
        <f t="shared" si="29"/>
        <v>459</v>
      </c>
      <c r="F455" s="97">
        <f t="shared" si="30"/>
        <v>13076</v>
      </c>
      <c r="G455" s="97">
        <f t="shared" si="31"/>
        <v>8076</v>
      </c>
    </row>
    <row r="456" spans="1:7" x14ac:dyDescent="0.2">
      <c r="A456" s="97">
        <v>454</v>
      </c>
      <c r="B456" s="101">
        <v>989</v>
      </c>
      <c r="D456" s="97">
        <f t="shared" si="28"/>
        <v>454</v>
      </c>
      <c r="E456" s="97">
        <f t="shared" si="29"/>
        <v>460</v>
      </c>
      <c r="F456" s="97">
        <f t="shared" si="30"/>
        <v>11414</v>
      </c>
      <c r="G456" s="97">
        <f t="shared" si="31"/>
        <v>6414</v>
      </c>
    </row>
    <row r="457" spans="1:7" x14ac:dyDescent="0.2">
      <c r="A457" s="97">
        <v>455</v>
      </c>
      <c r="B457" s="101">
        <v>1526</v>
      </c>
      <c r="D457" s="97">
        <f t="shared" si="28"/>
        <v>455</v>
      </c>
      <c r="E457" s="97">
        <f t="shared" si="29"/>
        <v>461</v>
      </c>
      <c r="F457" s="97">
        <f t="shared" si="30"/>
        <v>13459</v>
      </c>
      <c r="G457" s="97">
        <f t="shared" si="31"/>
        <v>8459</v>
      </c>
    </row>
    <row r="458" spans="1:7" x14ac:dyDescent="0.2">
      <c r="A458" s="97">
        <v>456</v>
      </c>
      <c r="B458" s="101">
        <v>1210</v>
      </c>
      <c r="D458" s="97">
        <f t="shared" si="28"/>
        <v>456</v>
      </c>
      <c r="E458" s="97">
        <f t="shared" si="29"/>
        <v>462</v>
      </c>
      <c r="F458" s="97">
        <f t="shared" si="30"/>
        <v>13747</v>
      </c>
      <c r="G458" s="97">
        <f t="shared" si="31"/>
        <v>8747</v>
      </c>
    </row>
    <row r="459" spans="1:7" x14ac:dyDescent="0.2">
      <c r="A459" s="97">
        <v>457</v>
      </c>
      <c r="B459" s="101">
        <v>1983</v>
      </c>
      <c r="D459" s="97">
        <f t="shared" si="28"/>
        <v>457</v>
      </c>
      <c r="E459" s="97">
        <f t="shared" si="29"/>
        <v>463</v>
      </c>
      <c r="F459" s="97">
        <f t="shared" si="30"/>
        <v>15060</v>
      </c>
      <c r="G459" s="97">
        <f t="shared" si="31"/>
        <v>10060</v>
      </c>
    </row>
    <row r="460" spans="1:7" x14ac:dyDescent="0.2">
      <c r="A460" s="97">
        <v>458</v>
      </c>
      <c r="B460" s="101">
        <v>2054</v>
      </c>
      <c r="D460" s="97">
        <f t="shared" si="28"/>
        <v>458</v>
      </c>
      <c r="E460" s="97">
        <f t="shared" si="29"/>
        <v>464</v>
      </c>
      <c r="F460" s="97">
        <f t="shared" si="30"/>
        <v>15725</v>
      </c>
      <c r="G460" s="97">
        <f t="shared" si="31"/>
        <v>10725</v>
      </c>
    </row>
    <row r="461" spans="1:7" x14ac:dyDescent="0.2">
      <c r="A461" s="97">
        <v>459</v>
      </c>
      <c r="B461" s="101">
        <v>2758</v>
      </c>
      <c r="D461" s="97">
        <f t="shared" si="28"/>
        <v>459</v>
      </c>
      <c r="E461" s="97">
        <f t="shared" si="29"/>
        <v>465</v>
      </c>
      <c r="F461" s="97">
        <f t="shared" si="30"/>
        <v>15466</v>
      </c>
      <c r="G461" s="97">
        <f t="shared" si="31"/>
        <v>10466</v>
      </c>
    </row>
    <row r="462" spans="1:7" x14ac:dyDescent="0.2">
      <c r="A462" s="97">
        <v>460</v>
      </c>
      <c r="B462" s="101">
        <v>894</v>
      </c>
      <c r="D462" s="97">
        <f t="shared" si="28"/>
        <v>460</v>
      </c>
      <c r="E462" s="97">
        <f t="shared" si="29"/>
        <v>466</v>
      </c>
      <c r="F462" s="97">
        <f t="shared" si="30"/>
        <v>13774</v>
      </c>
      <c r="G462" s="97">
        <f t="shared" si="31"/>
        <v>8774</v>
      </c>
    </row>
    <row r="463" spans="1:7" x14ac:dyDescent="0.2">
      <c r="A463" s="97">
        <v>461</v>
      </c>
      <c r="B463" s="101">
        <v>3034</v>
      </c>
      <c r="D463" s="97">
        <f t="shared" si="28"/>
        <v>461</v>
      </c>
      <c r="E463" s="97">
        <f t="shared" si="29"/>
        <v>467</v>
      </c>
      <c r="F463" s="97">
        <f t="shared" si="30"/>
        <v>16155</v>
      </c>
      <c r="G463" s="97">
        <f t="shared" si="31"/>
        <v>11155</v>
      </c>
    </row>
    <row r="464" spans="1:7" x14ac:dyDescent="0.2">
      <c r="A464" s="97">
        <v>462</v>
      </c>
      <c r="B464" s="101">
        <v>1814</v>
      </c>
      <c r="D464" s="97">
        <f t="shared" si="28"/>
        <v>462</v>
      </c>
      <c r="E464" s="97">
        <f t="shared" si="29"/>
        <v>468</v>
      </c>
      <c r="F464" s="97">
        <f t="shared" si="30"/>
        <v>15814</v>
      </c>
      <c r="G464" s="97">
        <f t="shared" si="31"/>
        <v>10814</v>
      </c>
    </row>
    <row r="465" spans="1:7" x14ac:dyDescent="0.2">
      <c r="A465" s="97">
        <v>463</v>
      </c>
      <c r="B465" s="101">
        <v>2523</v>
      </c>
      <c r="D465" s="97">
        <f t="shared" si="28"/>
        <v>463</v>
      </c>
      <c r="E465" s="97">
        <f t="shared" si="29"/>
        <v>469</v>
      </c>
      <c r="F465" s="97">
        <f t="shared" si="30"/>
        <v>16168</v>
      </c>
      <c r="G465" s="97">
        <f t="shared" si="31"/>
        <v>11168</v>
      </c>
    </row>
    <row r="466" spans="1:7" x14ac:dyDescent="0.2">
      <c r="A466" s="97">
        <v>464</v>
      </c>
      <c r="B466" s="101">
        <v>2648</v>
      </c>
      <c r="D466" s="97">
        <f t="shared" si="28"/>
        <v>464</v>
      </c>
      <c r="E466" s="97">
        <f t="shared" si="29"/>
        <v>470</v>
      </c>
      <c r="F466" s="97">
        <f t="shared" si="30"/>
        <v>16668</v>
      </c>
      <c r="G466" s="97">
        <f t="shared" si="31"/>
        <v>11668</v>
      </c>
    </row>
    <row r="467" spans="1:7" x14ac:dyDescent="0.2">
      <c r="A467" s="97">
        <v>465</v>
      </c>
      <c r="B467" s="101">
        <v>1795</v>
      </c>
      <c r="D467" s="97">
        <f t="shared" si="28"/>
        <v>465</v>
      </c>
      <c r="E467" s="97">
        <f t="shared" si="29"/>
        <v>471</v>
      </c>
      <c r="F467" s="97">
        <f t="shared" si="30"/>
        <v>15286</v>
      </c>
      <c r="G467" s="97">
        <f t="shared" si="31"/>
        <v>10286</v>
      </c>
    </row>
    <row r="468" spans="1:7" x14ac:dyDescent="0.2">
      <c r="A468" s="97">
        <v>466</v>
      </c>
      <c r="B468" s="101">
        <v>1066</v>
      </c>
      <c r="D468" s="97">
        <f t="shared" si="28"/>
        <v>466</v>
      </c>
      <c r="E468" s="97">
        <f t="shared" si="29"/>
        <v>472</v>
      </c>
      <c r="F468" s="97">
        <f t="shared" si="30"/>
        <v>15129</v>
      </c>
      <c r="G468" s="97">
        <f t="shared" si="31"/>
        <v>10129</v>
      </c>
    </row>
    <row r="469" spans="1:7" x14ac:dyDescent="0.2">
      <c r="A469" s="97">
        <v>467</v>
      </c>
      <c r="B469" s="101">
        <v>3275</v>
      </c>
      <c r="D469" s="97">
        <f t="shared" si="28"/>
        <v>467</v>
      </c>
      <c r="E469" s="97">
        <f t="shared" si="29"/>
        <v>473</v>
      </c>
      <c r="F469" s="97">
        <f t="shared" si="30"/>
        <v>17617</v>
      </c>
      <c r="G469" s="97">
        <f t="shared" si="31"/>
        <v>12617</v>
      </c>
    </row>
    <row r="470" spans="1:7" x14ac:dyDescent="0.2">
      <c r="A470" s="97">
        <v>468</v>
      </c>
      <c r="B470" s="101">
        <v>2693</v>
      </c>
      <c r="D470" s="97">
        <f t="shared" si="28"/>
        <v>468</v>
      </c>
      <c r="E470" s="97">
        <f t="shared" si="29"/>
        <v>474</v>
      </c>
      <c r="F470" s="97">
        <f t="shared" si="30"/>
        <v>15095</v>
      </c>
      <c r="G470" s="97">
        <f t="shared" si="31"/>
        <v>10095</v>
      </c>
    </row>
    <row r="471" spans="1:7" x14ac:dyDescent="0.2">
      <c r="A471" s="97">
        <v>469</v>
      </c>
      <c r="B471" s="101">
        <v>2168</v>
      </c>
      <c r="D471" s="97">
        <f t="shared" si="28"/>
        <v>469</v>
      </c>
      <c r="E471" s="97">
        <f t="shared" si="29"/>
        <v>475</v>
      </c>
      <c r="F471" s="97">
        <f t="shared" si="30"/>
        <v>13737</v>
      </c>
      <c r="G471" s="97">
        <f t="shared" si="31"/>
        <v>8737</v>
      </c>
    </row>
    <row r="472" spans="1:7" x14ac:dyDescent="0.2">
      <c r="A472" s="97">
        <v>470</v>
      </c>
      <c r="B472" s="101">
        <v>3023</v>
      </c>
      <c r="D472" s="97">
        <f t="shared" si="28"/>
        <v>470</v>
      </c>
      <c r="E472" s="97">
        <f t="shared" si="29"/>
        <v>476</v>
      </c>
      <c r="F472" s="97">
        <f t="shared" si="30"/>
        <v>12274</v>
      </c>
      <c r="G472" s="97">
        <f t="shared" si="31"/>
        <v>7274</v>
      </c>
    </row>
    <row r="473" spans="1:7" x14ac:dyDescent="0.2">
      <c r="A473" s="97">
        <v>471</v>
      </c>
      <c r="B473" s="101">
        <v>1266</v>
      </c>
      <c r="D473" s="97">
        <f t="shared" si="28"/>
        <v>471</v>
      </c>
      <c r="E473" s="97">
        <f t="shared" si="29"/>
        <v>477</v>
      </c>
      <c r="F473" s="97">
        <f t="shared" si="30"/>
        <v>10354</v>
      </c>
      <c r="G473" s="97">
        <f t="shared" si="31"/>
        <v>5354</v>
      </c>
    </row>
    <row r="474" spans="1:7" x14ac:dyDescent="0.2">
      <c r="A474" s="97">
        <v>472</v>
      </c>
      <c r="B474" s="101">
        <v>1638</v>
      </c>
      <c r="D474" s="97">
        <f t="shared" si="28"/>
        <v>472</v>
      </c>
      <c r="E474" s="97">
        <f t="shared" si="29"/>
        <v>478</v>
      </c>
      <c r="F474" s="97">
        <f t="shared" si="30"/>
        <v>9844</v>
      </c>
      <c r="G474" s="97">
        <f t="shared" si="31"/>
        <v>4844</v>
      </c>
    </row>
    <row r="475" spans="1:7" x14ac:dyDescent="0.2">
      <c r="A475" s="97">
        <v>473</v>
      </c>
      <c r="B475" s="101">
        <v>3554</v>
      </c>
      <c r="D475" s="97">
        <f t="shared" si="28"/>
        <v>473</v>
      </c>
      <c r="E475" s="97">
        <f t="shared" si="29"/>
        <v>479</v>
      </c>
      <c r="F475" s="97">
        <f t="shared" si="30"/>
        <v>9450</v>
      </c>
      <c r="G475" s="97">
        <f t="shared" si="31"/>
        <v>4450</v>
      </c>
    </row>
    <row r="476" spans="1:7" x14ac:dyDescent="0.2">
      <c r="A476" s="97">
        <v>474</v>
      </c>
      <c r="B476" s="101">
        <v>753</v>
      </c>
      <c r="D476" s="97">
        <f t="shared" si="28"/>
        <v>474</v>
      </c>
      <c r="E476" s="97">
        <f t="shared" si="29"/>
        <v>480</v>
      </c>
      <c r="F476" s="97">
        <f t="shared" si="30"/>
        <v>9154</v>
      </c>
      <c r="G476" s="97">
        <f t="shared" si="31"/>
        <v>4154</v>
      </c>
    </row>
    <row r="477" spans="1:7" x14ac:dyDescent="0.2">
      <c r="A477" s="97">
        <v>475</v>
      </c>
      <c r="B477" s="101">
        <v>1335</v>
      </c>
      <c r="D477" s="97">
        <f t="shared" si="28"/>
        <v>475</v>
      </c>
      <c r="E477" s="97">
        <f t="shared" si="29"/>
        <v>481</v>
      </c>
      <c r="F477" s="97">
        <f t="shared" si="30"/>
        <v>11090</v>
      </c>
      <c r="G477" s="97">
        <f t="shared" si="31"/>
        <v>6090</v>
      </c>
    </row>
    <row r="478" spans="1:7" x14ac:dyDescent="0.2">
      <c r="A478" s="97">
        <v>476</v>
      </c>
      <c r="B478" s="101">
        <v>705</v>
      </c>
      <c r="D478" s="97">
        <f t="shared" si="28"/>
        <v>476</v>
      </c>
      <c r="E478" s="97">
        <f t="shared" si="29"/>
        <v>482</v>
      </c>
      <c r="F478" s="97">
        <f t="shared" si="30"/>
        <v>12640</v>
      </c>
      <c r="G478" s="97">
        <f t="shared" si="31"/>
        <v>7640</v>
      </c>
    </row>
    <row r="479" spans="1:7" x14ac:dyDescent="0.2">
      <c r="A479" s="97">
        <v>477</v>
      </c>
      <c r="B479" s="101">
        <v>1103</v>
      </c>
      <c r="D479" s="97">
        <f t="shared" si="28"/>
        <v>477</v>
      </c>
      <c r="E479" s="97">
        <f t="shared" si="29"/>
        <v>483</v>
      </c>
      <c r="F479" s="97">
        <f t="shared" si="30"/>
        <v>13698</v>
      </c>
      <c r="G479" s="97">
        <f t="shared" si="31"/>
        <v>8698</v>
      </c>
    </row>
    <row r="480" spans="1:7" x14ac:dyDescent="0.2">
      <c r="A480" s="97">
        <v>478</v>
      </c>
      <c r="B480" s="101">
        <v>756</v>
      </c>
      <c r="D480" s="97">
        <f t="shared" si="28"/>
        <v>478</v>
      </c>
      <c r="E480" s="97">
        <f t="shared" si="29"/>
        <v>484</v>
      </c>
      <c r="F480" s="97">
        <f t="shared" si="30"/>
        <v>16064</v>
      </c>
      <c r="G480" s="97">
        <f t="shared" si="31"/>
        <v>11064</v>
      </c>
    </row>
    <row r="481" spans="1:7" x14ac:dyDescent="0.2">
      <c r="A481" s="97">
        <v>479</v>
      </c>
      <c r="B481" s="101">
        <v>1244</v>
      </c>
      <c r="D481" s="97">
        <f t="shared" si="28"/>
        <v>479</v>
      </c>
      <c r="E481" s="97">
        <f t="shared" si="29"/>
        <v>485</v>
      </c>
      <c r="F481" s="97">
        <f t="shared" si="30"/>
        <v>16548</v>
      </c>
      <c r="G481" s="97">
        <f t="shared" si="31"/>
        <v>11548</v>
      </c>
    </row>
    <row r="482" spans="1:7" x14ac:dyDescent="0.2">
      <c r="A482" s="97">
        <v>480</v>
      </c>
      <c r="B482" s="101">
        <v>3258</v>
      </c>
      <c r="D482" s="97">
        <f t="shared" si="28"/>
        <v>480</v>
      </c>
      <c r="E482" s="97">
        <f t="shared" si="29"/>
        <v>486</v>
      </c>
      <c r="F482" s="97">
        <f t="shared" si="30"/>
        <v>17625</v>
      </c>
      <c r="G482" s="97">
        <f t="shared" si="31"/>
        <v>12625</v>
      </c>
    </row>
    <row r="483" spans="1:7" x14ac:dyDescent="0.2">
      <c r="A483" s="97">
        <v>481</v>
      </c>
      <c r="B483" s="101">
        <v>2689</v>
      </c>
      <c r="D483" s="97">
        <f t="shared" si="28"/>
        <v>481</v>
      </c>
      <c r="E483" s="97">
        <f t="shared" si="29"/>
        <v>487</v>
      </c>
      <c r="F483" s="97">
        <f t="shared" si="30"/>
        <v>16058</v>
      </c>
      <c r="G483" s="97">
        <f t="shared" si="31"/>
        <v>11058</v>
      </c>
    </row>
    <row r="484" spans="1:7" x14ac:dyDescent="0.2">
      <c r="A484" s="97">
        <v>482</v>
      </c>
      <c r="B484" s="101">
        <v>2885</v>
      </c>
      <c r="D484" s="97">
        <f t="shared" si="28"/>
        <v>482</v>
      </c>
      <c r="E484" s="97">
        <f t="shared" si="29"/>
        <v>488</v>
      </c>
      <c r="F484" s="97">
        <f t="shared" si="30"/>
        <v>14198</v>
      </c>
      <c r="G484" s="97">
        <f t="shared" si="31"/>
        <v>9198</v>
      </c>
    </row>
    <row r="485" spans="1:7" x14ac:dyDescent="0.2">
      <c r="A485" s="97">
        <v>483</v>
      </c>
      <c r="B485" s="101">
        <v>1763</v>
      </c>
      <c r="D485" s="97">
        <f t="shared" si="28"/>
        <v>483</v>
      </c>
      <c r="E485" s="97">
        <f t="shared" si="29"/>
        <v>489</v>
      </c>
      <c r="F485" s="97">
        <f t="shared" si="30"/>
        <v>12702</v>
      </c>
      <c r="G485" s="97">
        <f t="shared" si="31"/>
        <v>7702</v>
      </c>
    </row>
    <row r="486" spans="1:7" x14ac:dyDescent="0.2">
      <c r="A486" s="97">
        <v>484</v>
      </c>
      <c r="B486" s="101">
        <v>3469</v>
      </c>
      <c r="D486" s="97">
        <f t="shared" si="28"/>
        <v>484</v>
      </c>
      <c r="E486" s="97">
        <f t="shared" si="29"/>
        <v>490</v>
      </c>
      <c r="F486" s="97">
        <f t="shared" si="30"/>
        <v>11947</v>
      </c>
      <c r="G486" s="97">
        <f t="shared" si="31"/>
        <v>6947</v>
      </c>
    </row>
    <row r="487" spans="1:7" x14ac:dyDescent="0.2">
      <c r="A487" s="97">
        <v>485</v>
      </c>
      <c r="B487" s="101">
        <v>1240</v>
      </c>
      <c r="D487" s="97">
        <f t="shared" si="28"/>
        <v>485</v>
      </c>
      <c r="E487" s="97">
        <f t="shared" si="29"/>
        <v>491</v>
      </c>
      <c r="F487" s="97">
        <f t="shared" si="30"/>
        <v>9542</v>
      </c>
      <c r="G487" s="97">
        <f t="shared" si="31"/>
        <v>4542</v>
      </c>
    </row>
    <row r="488" spans="1:7" x14ac:dyDescent="0.2">
      <c r="A488" s="97">
        <v>486</v>
      </c>
      <c r="B488" s="101">
        <v>2321</v>
      </c>
      <c r="D488" s="97">
        <f t="shared" si="28"/>
        <v>486</v>
      </c>
      <c r="E488" s="97">
        <f t="shared" si="29"/>
        <v>492</v>
      </c>
      <c r="F488" s="97">
        <f t="shared" si="30"/>
        <v>9752</v>
      </c>
      <c r="G488" s="97">
        <f t="shared" si="31"/>
        <v>4752</v>
      </c>
    </row>
    <row r="489" spans="1:7" x14ac:dyDescent="0.2">
      <c r="A489" s="97">
        <v>487</v>
      </c>
      <c r="B489" s="101">
        <v>1691</v>
      </c>
      <c r="D489" s="97">
        <f t="shared" si="28"/>
        <v>487</v>
      </c>
      <c r="E489" s="97">
        <f t="shared" si="29"/>
        <v>493</v>
      </c>
      <c r="F489" s="97">
        <f t="shared" si="30"/>
        <v>10612</v>
      </c>
      <c r="G489" s="97">
        <f t="shared" si="31"/>
        <v>5612</v>
      </c>
    </row>
    <row r="490" spans="1:7" x14ac:dyDescent="0.2">
      <c r="A490" s="97">
        <v>488</v>
      </c>
      <c r="B490" s="101">
        <v>829</v>
      </c>
      <c r="D490" s="97">
        <f t="shared" si="28"/>
        <v>488</v>
      </c>
      <c r="E490" s="97">
        <f t="shared" si="29"/>
        <v>494</v>
      </c>
      <c r="F490" s="97">
        <f t="shared" si="30"/>
        <v>11529</v>
      </c>
      <c r="G490" s="97">
        <f t="shared" si="31"/>
        <v>6529</v>
      </c>
    </row>
    <row r="491" spans="1:7" x14ac:dyDescent="0.2">
      <c r="A491" s="97">
        <v>489</v>
      </c>
      <c r="B491" s="101">
        <v>1389</v>
      </c>
      <c r="D491" s="97">
        <f t="shared" si="28"/>
        <v>489</v>
      </c>
      <c r="E491" s="97">
        <f t="shared" si="29"/>
        <v>495</v>
      </c>
      <c r="F491" s="97">
        <f t="shared" si="30"/>
        <v>13656</v>
      </c>
      <c r="G491" s="97">
        <f t="shared" si="31"/>
        <v>8656</v>
      </c>
    </row>
    <row r="492" spans="1:7" x14ac:dyDescent="0.2">
      <c r="A492" s="97">
        <v>490</v>
      </c>
      <c r="B492" s="101">
        <v>1008</v>
      </c>
      <c r="D492" s="97">
        <f t="shared" si="28"/>
        <v>490</v>
      </c>
      <c r="E492" s="97">
        <f t="shared" si="29"/>
        <v>496</v>
      </c>
      <c r="F492" s="97">
        <f t="shared" si="30"/>
        <v>13587</v>
      </c>
      <c r="G492" s="97">
        <f t="shared" si="31"/>
        <v>8587</v>
      </c>
    </row>
    <row r="493" spans="1:7" x14ac:dyDescent="0.2">
      <c r="A493" s="97">
        <v>491</v>
      </c>
      <c r="B493" s="101">
        <v>1064</v>
      </c>
      <c r="D493" s="97">
        <f t="shared" si="28"/>
        <v>491</v>
      </c>
      <c r="E493" s="97">
        <f t="shared" si="29"/>
        <v>497</v>
      </c>
      <c r="F493" s="97">
        <f t="shared" si="30"/>
        <v>13109</v>
      </c>
      <c r="G493" s="97">
        <f t="shared" si="31"/>
        <v>8109</v>
      </c>
    </row>
    <row r="494" spans="1:7" x14ac:dyDescent="0.2">
      <c r="A494" s="97">
        <v>492</v>
      </c>
      <c r="B494" s="101">
        <v>1450</v>
      </c>
      <c r="D494" s="97">
        <f t="shared" si="28"/>
        <v>492</v>
      </c>
      <c r="E494" s="97">
        <f t="shared" si="29"/>
        <v>498</v>
      </c>
      <c r="F494" s="97">
        <f t="shared" si="30"/>
        <v>14198</v>
      </c>
      <c r="G494" s="97">
        <f t="shared" si="31"/>
        <v>9198</v>
      </c>
    </row>
    <row r="495" spans="1:7" x14ac:dyDescent="0.2">
      <c r="A495" s="97">
        <v>493</v>
      </c>
      <c r="B495" s="101">
        <v>3181</v>
      </c>
      <c r="D495" s="97">
        <f t="shared" si="28"/>
        <v>493</v>
      </c>
      <c r="E495" s="97">
        <f t="shared" si="29"/>
        <v>499</v>
      </c>
      <c r="F495" s="97">
        <f t="shared" si="30"/>
        <v>13652</v>
      </c>
      <c r="G495" s="97">
        <f t="shared" si="31"/>
        <v>8652</v>
      </c>
    </row>
    <row r="496" spans="1:7" x14ac:dyDescent="0.2">
      <c r="A496" s="97">
        <v>494</v>
      </c>
      <c r="B496" s="101">
        <v>2608</v>
      </c>
      <c r="D496" s="97">
        <f t="shared" si="28"/>
        <v>494</v>
      </c>
      <c r="E496" s="97">
        <f t="shared" si="29"/>
        <v>500</v>
      </c>
      <c r="F496" s="97">
        <f t="shared" si="30"/>
        <v>12029</v>
      </c>
      <c r="G496" s="97">
        <f t="shared" si="31"/>
        <v>7029</v>
      </c>
    </row>
    <row r="497" spans="1:7" x14ac:dyDescent="0.2">
      <c r="A497" s="97">
        <v>495</v>
      </c>
      <c r="B497" s="101">
        <v>2956</v>
      </c>
      <c r="D497" s="97">
        <f t="shared" si="28"/>
        <v>495</v>
      </c>
      <c r="E497" s="97">
        <f t="shared" si="29"/>
        <v>501</v>
      </c>
      <c r="F497" s="97">
        <f t="shared" si="30"/>
        <v>10535</v>
      </c>
      <c r="G497" s="97">
        <f t="shared" si="31"/>
        <v>5535</v>
      </c>
    </row>
    <row r="498" spans="1:7" x14ac:dyDescent="0.2">
      <c r="A498" s="97">
        <v>496</v>
      </c>
      <c r="B498" s="101">
        <v>1320</v>
      </c>
      <c r="D498" s="97">
        <f t="shared" si="28"/>
        <v>496</v>
      </c>
      <c r="E498" s="97">
        <f t="shared" si="29"/>
        <v>502</v>
      </c>
      <c r="F498" s="97">
        <f t="shared" si="30"/>
        <v>9095</v>
      </c>
      <c r="G498" s="97">
        <f t="shared" si="31"/>
        <v>4095</v>
      </c>
    </row>
    <row r="499" spans="1:7" x14ac:dyDescent="0.2">
      <c r="A499" s="97">
        <v>497</v>
      </c>
      <c r="B499" s="101">
        <v>530</v>
      </c>
      <c r="D499" s="97">
        <f t="shared" si="28"/>
        <v>497</v>
      </c>
      <c r="E499" s="97">
        <f t="shared" si="29"/>
        <v>503</v>
      </c>
      <c r="F499" s="97">
        <f t="shared" si="30"/>
        <v>9390</v>
      </c>
      <c r="G499" s="97">
        <f t="shared" si="31"/>
        <v>4390</v>
      </c>
    </row>
    <row r="500" spans="1:7" x14ac:dyDescent="0.2">
      <c r="A500" s="97">
        <v>498</v>
      </c>
      <c r="B500" s="101">
        <v>2153</v>
      </c>
      <c r="D500" s="97">
        <f t="shared" si="28"/>
        <v>498</v>
      </c>
      <c r="E500" s="97">
        <f t="shared" si="29"/>
        <v>504</v>
      </c>
      <c r="F500" s="97">
        <f t="shared" si="30"/>
        <v>12108</v>
      </c>
      <c r="G500" s="97">
        <f t="shared" si="31"/>
        <v>7108</v>
      </c>
    </row>
    <row r="501" spans="1:7" x14ac:dyDescent="0.2">
      <c r="A501" s="97">
        <v>499</v>
      </c>
      <c r="B501" s="101">
        <v>904</v>
      </c>
      <c r="D501" s="97">
        <f t="shared" si="28"/>
        <v>499</v>
      </c>
      <c r="E501" s="97">
        <f t="shared" si="29"/>
        <v>505</v>
      </c>
      <c r="F501" s="97">
        <f t="shared" si="30"/>
        <v>11204</v>
      </c>
      <c r="G501" s="97">
        <f t="shared" si="31"/>
        <v>6204</v>
      </c>
    </row>
    <row r="502" spans="1:7" x14ac:dyDescent="0.2">
      <c r="A502" s="97">
        <v>500</v>
      </c>
      <c r="B502" s="101">
        <v>1558</v>
      </c>
      <c r="D502" s="97">
        <f t="shared" si="28"/>
        <v>500</v>
      </c>
      <c r="E502" s="97">
        <f t="shared" si="29"/>
        <v>506</v>
      </c>
      <c r="F502" s="97">
        <f t="shared" si="30"/>
        <v>12861</v>
      </c>
      <c r="G502" s="97">
        <f t="shared" si="31"/>
        <v>7861</v>
      </c>
    </row>
    <row r="503" spans="1:7" x14ac:dyDescent="0.2">
      <c r="A503" s="97">
        <v>501</v>
      </c>
      <c r="B503" s="101">
        <v>1114</v>
      </c>
      <c r="D503" s="97">
        <f t="shared" si="28"/>
        <v>501</v>
      </c>
      <c r="E503" s="97">
        <f t="shared" si="29"/>
        <v>507</v>
      </c>
      <c r="F503" s="97">
        <f t="shared" si="30"/>
        <v>13582</v>
      </c>
      <c r="G503" s="97">
        <f t="shared" si="31"/>
        <v>8582</v>
      </c>
    </row>
    <row r="504" spans="1:7" x14ac:dyDescent="0.2">
      <c r="A504" s="97">
        <v>502</v>
      </c>
      <c r="B504" s="101">
        <v>1516</v>
      </c>
      <c r="D504" s="97">
        <f t="shared" si="28"/>
        <v>502</v>
      </c>
      <c r="E504" s="97">
        <f t="shared" si="29"/>
        <v>508</v>
      </c>
      <c r="F504" s="97">
        <f t="shared" si="30"/>
        <v>14557</v>
      </c>
      <c r="G504" s="97">
        <f t="shared" si="31"/>
        <v>9557</v>
      </c>
    </row>
    <row r="505" spans="1:7" x14ac:dyDescent="0.2">
      <c r="A505" s="97">
        <v>503</v>
      </c>
      <c r="B505" s="101">
        <v>1615</v>
      </c>
      <c r="D505" s="97">
        <f t="shared" si="28"/>
        <v>503</v>
      </c>
      <c r="E505" s="97">
        <f t="shared" si="29"/>
        <v>509</v>
      </c>
      <c r="F505" s="97">
        <f t="shared" si="30"/>
        <v>15597</v>
      </c>
      <c r="G505" s="97">
        <f t="shared" si="31"/>
        <v>10597</v>
      </c>
    </row>
    <row r="506" spans="1:7" x14ac:dyDescent="0.2">
      <c r="A506" s="97">
        <v>504</v>
      </c>
      <c r="B506" s="101">
        <v>3248</v>
      </c>
      <c r="D506" s="97">
        <f t="shared" si="28"/>
        <v>504</v>
      </c>
      <c r="E506" s="97">
        <f t="shared" si="29"/>
        <v>510</v>
      </c>
      <c r="F506" s="97">
        <f t="shared" si="30"/>
        <v>15640</v>
      </c>
      <c r="G506" s="97">
        <f t="shared" si="31"/>
        <v>10640</v>
      </c>
    </row>
    <row r="507" spans="1:7" x14ac:dyDescent="0.2">
      <c r="A507" s="97">
        <v>505</v>
      </c>
      <c r="B507" s="101">
        <v>1249</v>
      </c>
      <c r="D507" s="97">
        <f t="shared" si="28"/>
        <v>505</v>
      </c>
      <c r="E507" s="97">
        <f t="shared" si="29"/>
        <v>511</v>
      </c>
      <c r="F507" s="97">
        <f t="shared" si="30"/>
        <v>12392</v>
      </c>
      <c r="G507" s="97">
        <f t="shared" si="31"/>
        <v>7392</v>
      </c>
    </row>
    <row r="508" spans="1:7" x14ac:dyDescent="0.2">
      <c r="A508" s="97">
        <v>506</v>
      </c>
      <c r="B508" s="101">
        <v>2561</v>
      </c>
      <c r="D508" s="97">
        <f t="shared" si="28"/>
        <v>506</v>
      </c>
      <c r="E508" s="97">
        <f t="shared" si="29"/>
        <v>512</v>
      </c>
      <c r="F508" s="97">
        <f t="shared" si="30"/>
        <v>12988</v>
      </c>
      <c r="G508" s="97">
        <f t="shared" si="31"/>
        <v>7988</v>
      </c>
    </row>
    <row r="509" spans="1:7" x14ac:dyDescent="0.2">
      <c r="A509" s="97">
        <v>507</v>
      </c>
      <c r="B509" s="101">
        <v>2279</v>
      </c>
      <c r="D509" s="97">
        <f t="shared" si="28"/>
        <v>507</v>
      </c>
      <c r="E509" s="97">
        <f t="shared" si="29"/>
        <v>513</v>
      </c>
      <c r="F509" s="97">
        <f t="shared" si="30"/>
        <v>12027</v>
      </c>
      <c r="G509" s="97">
        <f t="shared" si="31"/>
        <v>7027</v>
      </c>
    </row>
    <row r="510" spans="1:7" x14ac:dyDescent="0.2">
      <c r="A510" s="97">
        <v>508</v>
      </c>
      <c r="B510" s="101">
        <v>2089</v>
      </c>
      <c r="D510" s="97">
        <f t="shared" si="28"/>
        <v>508</v>
      </c>
      <c r="E510" s="97">
        <f t="shared" si="29"/>
        <v>514</v>
      </c>
      <c r="F510" s="97">
        <f t="shared" si="30"/>
        <v>12156</v>
      </c>
      <c r="G510" s="97">
        <f t="shared" si="31"/>
        <v>7156</v>
      </c>
    </row>
    <row r="511" spans="1:7" x14ac:dyDescent="0.2">
      <c r="A511" s="97">
        <v>509</v>
      </c>
      <c r="B511" s="101">
        <v>2556</v>
      </c>
      <c r="D511" s="97">
        <f t="shared" si="28"/>
        <v>509</v>
      </c>
      <c r="E511" s="97">
        <f t="shared" si="29"/>
        <v>515</v>
      </c>
      <c r="F511" s="97">
        <f t="shared" si="30"/>
        <v>11521</v>
      </c>
      <c r="G511" s="97">
        <f t="shared" si="31"/>
        <v>6521</v>
      </c>
    </row>
    <row r="512" spans="1:7" x14ac:dyDescent="0.2">
      <c r="A512" s="97">
        <v>510</v>
      </c>
      <c r="B512" s="101">
        <v>1658</v>
      </c>
      <c r="D512" s="97">
        <f t="shared" si="28"/>
        <v>510</v>
      </c>
      <c r="E512" s="97">
        <f t="shared" si="29"/>
        <v>516</v>
      </c>
      <c r="F512" s="97">
        <f t="shared" si="30"/>
        <v>10415</v>
      </c>
      <c r="G512" s="97">
        <f t="shared" si="31"/>
        <v>5415</v>
      </c>
    </row>
    <row r="513" spans="1:7" x14ac:dyDescent="0.2">
      <c r="A513" s="97">
        <v>511</v>
      </c>
      <c r="B513" s="101">
        <v>0</v>
      </c>
      <c r="D513" s="97">
        <f t="shared" si="28"/>
        <v>511</v>
      </c>
      <c r="E513" s="97">
        <f t="shared" si="29"/>
        <v>517</v>
      </c>
      <c r="F513" s="97">
        <f t="shared" si="30"/>
        <v>10628</v>
      </c>
      <c r="G513" s="97">
        <f t="shared" si="31"/>
        <v>5628</v>
      </c>
    </row>
    <row r="514" spans="1:7" x14ac:dyDescent="0.2">
      <c r="A514" s="97">
        <v>512</v>
      </c>
      <c r="B514" s="101">
        <v>1845</v>
      </c>
      <c r="D514" s="97">
        <f t="shared" si="28"/>
        <v>512</v>
      </c>
      <c r="E514" s="97">
        <f t="shared" si="29"/>
        <v>518</v>
      </c>
      <c r="F514" s="97">
        <f t="shared" si="30"/>
        <v>13732</v>
      </c>
      <c r="G514" s="97">
        <f t="shared" si="31"/>
        <v>8732</v>
      </c>
    </row>
    <row r="515" spans="1:7" x14ac:dyDescent="0.2">
      <c r="A515" s="97">
        <v>513</v>
      </c>
      <c r="B515" s="101">
        <v>1600</v>
      </c>
      <c r="D515" s="97">
        <f t="shared" si="28"/>
        <v>513</v>
      </c>
      <c r="E515" s="97">
        <f t="shared" si="29"/>
        <v>519</v>
      </c>
      <c r="F515" s="97">
        <f t="shared" si="30"/>
        <v>13486</v>
      </c>
      <c r="G515" s="97">
        <f t="shared" si="31"/>
        <v>8486</v>
      </c>
    </row>
    <row r="516" spans="1:7" x14ac:dyDescent="0.2">
      <c r="A516" s="97">
        <v>514</v>
      </c>
      <c r="B516" s="101">
        <v>2408</v>
      </c>
      <c r="D516" s="97">
        <f t="shared" ref="D516:D579" si="32">A516</f>
        <v>514</v>
      </c>
      <c r="E516" s="97">
        <f t="shared" ref="E516:E579" si="33">A522</f>
        <v>520</v>
      </c>
      <c r="F516" s="97">
        <f t="shared" ref="F516:F579" si="34">SUM(B516:B522)</f>
        <v>13902</v>
      </c>
      <c r="G516" s="97">
        <f t="shared" ref="G516:G579" si="35">MAX(F516-$J$5,0)</f>
        <v>8902</v>
      </c>
    </row>
    <row r="517" spans="1:7" x14ac:dyDescent="0.2">
      <c r="A517" s="97">
        <v>515</v>
      </c>
      <c r="B517" s="101">
        <v>1454</v>
      </c>
      <c r="D517" s="97">
        <f t="shared" si="32"/>
        <v>515</v>
      </c>
      <c r="E517" s="97">
        <f t="shared" si="33"/>
        <v>521</v>
      </c>
      <c r="F517" s="97">
        <f t="shared" si="34"/>
        <v>12365</v>
      </c>
      <c r="G517" s="97">
        <f t="shared" si="35"/>
        <v>7365</v>
      </c>
    </row>
    <row r="518" spans="1:7" x14ac:dyDescent="0.2">
      <c r="A518" s="97">
        <v>516</v>
      </c>
      <c r="B518" s="101">
        <v>1450</v>
      </c>
      <c r="D518" s="97">
        <f t="shared" si="32"/>
        <v>516</v>
      </c>
      <c r="E518" s="97">
        <f t="shared" si="33"/>
        <v>522</v>
      </c>
      <c r="F518" s="97">
        <f t="shared" si="34"/>
        <v>13305</v>
      </c>
      <c r="G518" s="97">
        <f t="shared" si="35"/>
        <v>8305</v>
      </c>
    </row>
    <row r="519" spans="1:7" x14ac:dyDescent="0.2">
      <c r="A519" s="97">
        <v>517</v>
      </c>
      <c r="B519" s="101">
        <v>1871</v>
      </c>
      <c r="D519" s="97">
        <f t="shared" si="32"/>
        <v>517</v>
      </c>
      <c r="E519" s="97">
        <f t="shared" si="33"/>
        <v>523</v>
      </c>
      <c r="F519" s="97">
        <f t="shared" si="34"/>
        <v>12810</v>
      </c>
      <c r="G519" s="97">
        <f t="shared" si="35"/>
        <v>7810</v>
      </c>
    </row>
    <row r="520" spans="1:7" x14ac:dyDescent="0.2">
      <c r="A520" s="97">
        <v>518</v>
      </c>
      <c r="B520" s="101">
        <v>3104</v>
      </c>
      <c r="D520" s="97">
        <f t="shared" si="32"/>
        <v>518</v>
      </c>
      <c r="E520" s="97">
        <f t="shared" si="33"/>
        <v>524</v>
      </c>
      <c r="F520" s="97">
        <f t="shared" si="34"/>
        <v>12853</v>
      </c>
      <c r="G520" s="97">
        <f t="shared" si="35"/>
        <v>7853</v>
      </c>
    </row>
    <row r="521" spans="1:7" x14ac:dyDescent="0.2">
      <c r="A521" s="97">
        <v>519</v>
      </c>
      <c r="B521" s="101">
        <v>1599</v>
      </c>
      <c r="D521" s="97">
        <f t="shared" si="32"/>
        <v>519</v>
      </c>
      <c r="E521" s="97">
        <f t="shared" si="33"/>
        <v>525</v>
      </c>
      <c r="F521" s="97">
        <f t="shared" si="34"/>
        <v>11430</v>
      </c>
      <c r="G521" s="97">
        <f t="shared" si="35"/>
        <v>6430</v>
      </c>
    </row>
    <row r="522" spans="1:7" x14ac:dyDescent="0.2">
      <c r="A522" s="97">
        <v>520</v>
      </c>
      <c r="B522" s="101">
        <v>2016</v>
      </c>
      <c r="D522" s="97">
        <f t="shared" si="32"/>
        <v>520</v>
      </c>
      <c r="E522" s="97">
        <f t="shared" si="33"/>
        <v>526</v>
      </c>
      <c r="F522" s="97">
        <f t="shared" si="34"/>
        <v>11632</v>
      </c>
      <c r="G522" s="97">
        <f t="shared" si="35"/>
        <v>6632</v>
      </c>
    </row>
    <row r="523" spans="1:7" x14ac:dyDescent="0.2">
      <c r="A523" s="97">
        <v>521</v>
      </c>
      <c r="B523" s="101">
        <v>871</v>
      </c>
      <c r="D523" s="97">
        <f t="shared" si="32"/>
        <v>521</v>
      </c>
      <c r="E523" s="97">
        <f t="shared" si="33"/>
        <v>527</v>
      </c>
      <c r="F523" s="97">
        <f t="shared" si="34"/>
        <v>9905</v>
      </c>
      <c r="G523" s="97">
        <f t="shared" si="35"/>
        <v>4905</v>
      </c>
    </row>
    <row r="524" spans="1:7" x14ac:dyDescent="0.2">
      <c r="A524" s="97">
        <v>522</v>
      </c>
      <c r="B524" s="101">
        <v>2394</v>
      </c>
      <c r="D524" s="97">
        <f t="shared" si="32"/>
        <v>522</v>
      </c>
      <c r="E524" s="97">
        <f t="shared" si="33"/>
        <v>528</v>
      </c>
      <c r="F524" s="97">
        <f t="shared" si="34"/>
        <v>9373</v>
      </c>
      <c r="G524" s="97">
        <f t="shared" si="35"/>
        <v>4373</v>
      </c>
    </row>
    <row r="525" spans="1:7" x14ac:dyDescent="0.2">
      <c r="A525" s="97">
        <v>523</v>
      </c>
      <c r="B525" s="101">
        <v>955</v>
      </c>
      <c r="D525" s="97">
        <f t="shared" si="32"/>
        <v>523</v>
      </c>
      <c r="E525" s="97">
        <f t="shared" si="33"/>
        <v>529</v>
      </c>
      <c r="F525" s="97">
        <f t="shared" si="34"/>
        <v>10023</v>
      </c>
      <c r="G525" s="97">
        <f t="shared" si="35"/>
        <v>5023</v>
      </c>
    </row>
    <row r="526" spans="1:7" x14ac:dyDescent="0.2">
      <c r="A526" s="97">
        <v>524</v>
      </c>
      <c r="B526" s="101">
        <v>1914</v>
      </c>
      <c r="D526" s="97">
        <f t="shared" si="32"/>
        <v>524</v>
      </c>
      <c r="E526" s="97">
        <f t="shared" si="33"/>
        <v>530</v>
      </c>
      <c r="F526" s="97">
        <f t="shared" si="34"/>
        <v>10761</v>
      </c>
      <c r="G526" s="97">
        <f t="shared" si="35"/>
        <v>5761</v>
      </c>
    </row>
    <row r="527" spans="1:7" x14ac:dyDescent="0.2">
      <c r="A527" s="97">
        <v>525</v>
      </c>
      <c r="B527" s="101">
        <v>1681</v>
      </c>
      <c r="D527" s="97">
        <f t="shared" si="32"/>
        <v>525</v>
      </c>
      <c r="E527" s="97">
        <f t="shared" si="33"/>
        <v>531</v>
      </c>
      <c r="F527" s="97">
        <f t="shared" si="34"/>
        <v>10958</v>
      </c>
      <c r="G527" s="97">
        <f t="shared" si="35"/>
        <v>5958</v>
      </c>
    </row>
    <row r="528" spans="1:7" x14ac:dyDescent="0.2">
      <c r="A528" s="97">
        <v>526</v>
      </c>
      <c r="B528" s="101">
        <v>1801</v>
      </c>
      <c r="D528" s="97">
        <f t="shared" si="32"/>
        <v>526</v>
      </c>
      <c r="E528" s="97">
        <f t="shared" si="33"/>
        <v>532</v>
      </c>
      <c r="F528" s="97">
        <f t="shared" si="34"/>
        <v>10305</v>
      </c>
      <c r="G528" s="97">
        <f t="shared" si="35"/>
        <v>5305</v>
      </c>
    </row>
    <row r="529" spans="1:7" x14ac:dyDescent="0.2">
      <c r="A529" s="97">
        <v>527</v>
      </c>
      <c r="B529" s="101">
        <v>289</v>
      </c>
      <c r="D529" s="97">
        <f t="shared" si="32"/>
        <v>527</v>
      </c>
      <c r="E529" s="97">
        <f t="shared" si="33"/>
        <v>533</v>
      </c>
      <c r="F529" s="97">
        <f t="shared" si="34"/>
        <v>9753</v>
      </c>
      <c r="G529" s="97">
        <f t="shared" si="35"/>
        <v>4753</v>
      </c>
    </row>
    <row r="530" spans="1:7" x14ac:dyDescent="0.2">
      <c r="A530" s="97">
        <v>528</v>
      </c>
      <c r="B530" s="101">
        <v>339</v>
      </c>
      <c r="D530" s="97">
        <f t="shared" si="32"/>
        <v>528</v>
      </c>
      <c r="E530" s="97">
        <f t="shared" si="33"/>
        <v>534</v>
      </c>
      <c r="F530" s="97">
        <f t="shared" si="34"/>
        <v>12510</v>
      </c>
      <c r="G530" s="97">
        <f t="shared" si="35"/>
        <v>7510</v>
      </c>
    </row>
    <row r="531" spans="1:7" x14ac:dyDescent="0.2">
      <c r="A531" s="97">
        <v>529</v>
      </c>
      <c r="B531" s="101">
        <v>3044</v>
      </c>
      <c r="D531" s="97">
        <f t="shared" si="32"/>
        <v>529</v>
      </c>
      <c r="E531" s="97">
        <f t="shared" si="33"/>
        <v>535</v>
      </c>
      <c r="F531" s="97">
        <f t="shared" si="34"/>
        <v>14786</v>
      </c>
      <c r="G531" s="97">
        <f t="shared" si="35"/>
        <v>9786</v>
      </c>
    </row>
    <row r="532" spans="1:7" x14ac:dyDescent="0.2">
      <c r="A532" s="97">
        <v>530</v>
      </c>
      <c r="B532" s="101">
        <v>1693</v>
      </c>
      <c r="D532" s="97">
        <f t="shared" si="32"/>
        <v>530</v>
      </c>
      <c r="E532" s="97">
        <f t="shared" si="33"/>
        <v>536</v>
      </c>
      <c r="F532" s="97">
        <f t="shared" si="34"/>
        <v>13427</v>
      </c>
      <c r="G532" s="97">
        <f t="shared" si="35"/>
        <v>8427</v>
      </c>
    </row>
    <row r="533" spans="1:7" x14ac:dyDescent="0.2">
      <c r="A533" s="97">
        <v>531</v>
      </c>
      <c r="B533" s="101">
        <v>2111</v>
      </c>
      <c r="D533" s="97">
        <f t="shared" si="32"/>
        <v>531</v>
      </c>
      <c r="E533" s="97">
        <f t="shared" si="33"/>
        <v>537</v>
      </c>
      <c r="F533" s="97">
        <f t="shared" si="34"/>
        <v>14063</v>
      </c>
      <c r="G533" s="97">
        <f t="shared" si="35"/>
        <v>9063</v>
      </c>
    </row>
    <row r="534" spans="1:7" x14ac:dyDescent="0.2">
      <c r="A534" s="97">
        <v>532</v>
      </c>
      <c r="B534" s="101">
        <v>1028</v>
      </c>
      <c r="D534" s="97">
        <f t="shared" si="32"/>
        <v>532</v>
      </c>
      <c r="E534" s="97">
        <f t="shared" si="33"/>
        <v>538</v>
      </c>
      <c r="F534" s="97">
        <f t="shared" si="34"/>
        <v>14308</v>
      </c>
      <c r="G534" s="97">
        <f t="shared" si="35"/>
        <v>9308</v>
      </c>
    </row>
    <row r="535" spans="1:7" x14ac:dyDescent="0.2">
      <c r="A535" s="97">
        <v>533</v>
      </c>
      <c r="B535" s="101">
        <v>1249</v>
      </c>
      <c r="D535" s="97">
        <f t="shared" si="32"/>
        <v>533</v>
      </c>
      <c r="E535" s="97">
        <f t="shared" si="33"/>
        <v>539</v>
      </c>
      <c r="F535" s="97">
        <f t="shared" si="34"/>
        <v>14183</v>
      </c>
      <c r="G535" s="97">
        <f t="shared" si="35"/>
        <v>9183</v>
      </c>
    </row>
    <row r="536" spans="1:7" x14ac:dyDescent="0.2">
      <c r="A536" s="97">
        <v>534</v>
      </c>
      <c r="B536" s="101">
        <v>3046</v>
      </c>
      <c r="D536" s="97">
        <f t="shared" si="32"/>
        <v>534</v>
      </c>
      <c r="E536" s="97">
        <f t="shared" si="33"/>
        <v>540</v>
      </c>
      <c r="F536" s="97">
        <f t="shared" si="34"/>
        <v>15434</v>
      </c>
      <c r="G536" s="97">
        <f t="shared" si="35"/>
        <v>10434</v>
      </c>
    </row>
    <row r="537" spans="1:7" x14ac:dyDescent="0.2">
      <c r="A537" s="97">
        <v>535</v>
      </c>
      <c r="B537" s="101">
        <v>2615</v>
      </c>
      <c r="D537" s="97">
        <f t="shared" si="32"/>
        <v>535</v>
      </c>
      <c r="E537" s="97">
        <f t="shared" si="33"/>
        <v>541</v>
      </c>
      <c r="F537" s="97">
        <f t="shared" si="34"/>
        <v>13503</v>
      </c>
      <c r="G537" s="97">
        <f t="shared" si="35"/>
        <v>8503</v>
      </c>
    </row>
    <row r="538" spans="1:7" x14ac:dyDescent="0.2">
      <c r="A538" s="97">
        <v>536</v>
      </c>
      <c r="B538" s="101">
        <v>1685</v>
      </c>
      <c r="D538" s="97">
        <f t="shared" si="32"/>
        <v>536</v>
      </c>
      <c r="E538" s="97">
        <f t="shared" si="33"/>
        <v>542</v>
      </c>
      <c r="F538" s="97">
        <f t="shared" si="34"/>
        <v>11953</v>
      </c>
      <c r="G538" s="97">
        <f t="shared" si="35"/>
        <v>6953</v>
      </c>
    </row>
    <row r="539" spans="1:7" x14ac:dyDescent="0.2">
      <c r="A539" s="97">
        <v>537</v>
      </c>
      <c r="B539" s="101">
        <v>2329</v>
      </c>
      <c r="D539" s="97">
        <f t="shared" si="32"/>
        <v>537</v>
      </c>
      <c r="E539" s="97">
        <f t="shared" si="33"/>
        <v>543</v>
      </c>
      <c r="F539" s="97">
        <f t="shared" si="34"/>
        <v>11981</v>
      </c>
      <c r="G539" s="97">
        <f t="shared" si="35"/>
        <v>6981</v>
      </c>
    </row>
    <row r="540" spans="1:7" x14ac:dyDescent="0.2">
      <c r="A540" s="97">
        <v>538</v>
      </c>
      <c r="B540" s="101">
        <v>2356</v>
      </c>
      <c r="D540" s="97">
        <f t="shared" si="32"/>
        <v>538</v>
      </c>
      <c r="E540" s="97">
        <f t="shared" si="33"/>
        <v>544</v>
      </c>
      <c r="F540" s="97">
        <f t="shared" si="34"/>
        <v>11725</v>
      </c>
      <c r="G540" s="97">
        <f t="shared" si="35"/>
        <v>6725</v>
      </c>
    </row>
    <row r="541" spans="1:7" x14ac:dyDescent="0.2">
      <c r="A541" s="97">
        <v>539</v>
      </c>
      <c r="B541" s="101">
        <v>903</v>
      </c>
      <c r="D541" s="97">
        <f t="shared" si="32"/>
        <v>539</v>
      </c>
      <c r="E541" s="97">
        <f t="shared" si="33"/>
        <v>545</v>
      </c>
      <c r="F541" s="97">
        <f t="shared" si="34"/>
        <v>10895</v>
      </c>
      <c r="G541" s="97">
        <f t="shared" si="35"/>
        <v>5895</v>
      </c>
    </row>
    <row r="542" spans="1:7" x14ac:dyDescent="0.2">
      <c r="A542" s="97">
        <v>540</v>
      </c>
      <c r="B542" s="101">
        <v>2500</v>
      </c>
      <c r="D542" s="97">
        <f t="shared" si="32"/>
        <v>540</v>
      </c>
      <c r="E542" s="97">
        <f t="shared" si="33"/>
        <v>546</v>
      </c>
      <c r="F542" s="97">
        <f t="shared" si="34"/>
        <v>11682</v>
      </c>
      <c r="G542" s="97">
        <f t="shared" si="35"/>
        <v>6682</v>
      </c>
    </row>
    <row r="543" spans="1:7" x14ac:dyDescent="0.2">
      <c r="A543" s="97">
        <v>541</v>
      </c>
      <c r="B543" s="101">
        <v>1115</v>
      </c>
      <c r="D543" s="97">
        <f t="shared" si="32"/>
        <v>541</v>
      </c>
      <c r="E543" s="97">
        <f t="shared" si="33"/>
        <v>547</v>
      </c>
      <c r="F543" s="97">
        <f t="shared" si="34"/>
        <v>11956</v>
      </c>
      <c r="G543" s="97">
        <f t="shared" si="35"/>
        <v>6956</v>
      </c>
    </row>
    <row r="544" spans="1:7" x14ac:dyDescent="0.2">
      <c r="A544" s="97">
        <v>542</v>
      </c>
      <c r="B544" s="101">
        <v>1065</v>
      </c>
      <c r="D544" s="97">
        <f t="shared" si="32"/>
        <v>542</v>
      </c>
      <c r="E544" s="97">
        <f t="shared" si="33"/>
        <v>548</v>
      </c>
      <c r="F544" s="97">
        <f t="shared" si="34"/>
        <v>11752</v>
      </c>
      <c r="G544" s="97">
        <f t="shared" si="35"/>
        <v>6752</v>
      </c>
    </row>
    <row r="545" spans="1:7" x14ac:dyDescent="0.2">
      <c r="A545" s="97">
        <v>543</v>
      </c>
      <c r="B545" s="101">
        <v>1713</v>
      </c>
      <c r="D545" s="97">
        <f t="shared" si="32"/>
        <v>543</v>
      </c>
      <c r="E545" s="97">
        <f t="shared" si="33"/>
        <v>549</v>
      </c>
      <c r="F545" s="97">
        <f t="shared" si="34"/>
        <v>13271</v>
      </c>
      <c r="G545" s="97">
        <f t="shared" si="35"/>
        <v>8271</v>
      </c>
    </row>
    <row r="546" spans="1:7" x14ac:dyDescent="0.2">
      <c r="A546" s="97">
        <v>544</v>
      </c>
      <c r="B546" s="101">
        <v>2073</v>
      </c>
      <c r="D546" s="97">
        <f t="shared" si="32"/>
        <v>544</v>
      </c>
      <c r="E546" s="97">
        <f t="shared" si="33"/>
        <v>550</v>
      </c>
      <c r="F546" s="97">
        <f t="shared" si="34"/>
        <v>12394</v>
      </c>
      <c r="G546" s="97">
        <f t="shared" si="35"/>
        <v>7394</v>
      </c>
    </row>
    <row r="547" spans="1:7" x14ac:dyDescent="0.2">
      <c r="A547" s="97">
        <v>545</v>
      </c>
      <c r="B547" s="101">
        <v>1526</v>
      </c>
      <c r="D547" s="97">
        <f t="shared" si="32"/>
        <v>545</v>
      </c>
      <c r="E547" s="97">
        <f t="shared" si="33"/>
        <v>551</v>
      </c>
      <c r="F547" s="97">
        <f t="shared" si="34"/>
        <v>13061</v>
      </c>
      <c r="G547" s="97">
        <f t="shared" si="35"/>
        <v>8061</v>
      </c>
    </row>
    <row r="548" spans="1:7" x14ac:dyDescent="0.2">
      <c r="A548" s="97">
        <v>546</v>
      </c>
      <c r="B548" s="101">
        <v>1690</v>
      </c>
      <c r="D548" s="97">
        <f t="shared" si="32"/>
        <v>546</v>
      </c>
      <c r="E548" s="97">
        <f t="shared" si="33"/>
        <v>552</v>
      </c>
      <c r="F548" s="97">
        <f t="shared" si="34"/>
        <v>13114</v>
      </c>
      <c r="G548" s="97">
        <f t="shared" si="35"/>
        <v>8114</v>
      </c>
    </row>
    <row r="549" spans="1:7" x14ac:dyDescent="0.2">
      <c r="A549" s="97">
        <v>547</v>
      </c>
      <c r="B549" s="101">
        <v>2774</v>
      </c>
      <c r="D549" s="97">
        <f t="shared" si="32"/>
        <v>547</v>
      </c>
      <c r="E549" s="97">
        <f t="shared" si="33"/>
        <v>553</v>
      </c>
      <c r="F549" s="97">
        <f t="shared" si="34"/>
        <v>12514</v>
      </c>
      <c r="G549" s="97">
        <f t="shared" si="35"/>
        <v>7514</v>
      </c>
    </row>
    <row r="550" spans="1:7" x14ac:dyDescent="0.2">
      <c r="A550" s="97">
        <v>548</v>
      </c>
      <c r="B550" s="101">
        <v>911</v>
      </c>
      <c r="D550" s="97">
        <f t="shared" si="32"/>
        <v>548</v>
      </c>
      <c r="E550" s="97">
        <f t="shared" si="33"/>
        <v>554</v>
      </c>
      <c r="F550" s="97">
        <f t="shared" si="34"/>
        <v>11548</v>
      </c>
      <c r="G550" s="97">
        <f t="shared" si="35"/>
        <v>6548</v>
      </c>
    </row>
    <row r="551" spans="1:7" x14ac:dyDescent="0.2">
      <c r="A551" s="97">
        <v>549</v>
      </c>
      <c r="B551" s="101">
        <v>2584</v>
      </c>
      <c r="D551" s="97">
        <f t="shared" si="32"/>
        <v>549</v>
      </c>
      <c r="E551" s="97">
        <f t="shared" si="33"/>
        <v>555</v>
      </c>
      <c r="F551" s="97">
        <f t="shared" si="34"/>
        <v>11171</v>
      </c>
      <c r="G551" s="97">
        <f t="shared" si="35"/>
        <v>6171</v>
      </c>
    </row>
    <row r="552" spans="1:7" x14ac:dyDescent="0.2">
      <c r="A552" s="97">
        <v>550</v>
      </c>
      <c r="B552" s="101">
        <v>836</v>
      </c>
      <c r="D552" s="97">
        <f t="shared" si="32"/>
        <v>550</v>
      </c>
      <c r="E552" s="97">
        <f t="shared" si="33"/>
        <v>556</v>
      </c>
      <c r="F552" s="97">
        <f t="shared" si="34"/>
        <v>12636</v>
      </c>
      <c r="G552" s="97">
        <f t="shared" si="35"/>
        <v>7636</v>
      </c>
    </row>
    <row r="553" spans="1:7" x14ac:dyDescent="0.2">
      <c r="A553" s="97">
        <v>551</v>
      </c>
      <c r="B553" s="101">
        <v>2740</v>
      </c>
      <c r="D553" s="97">
        <f t="shared" si="32"/>
        <v>551</v>
      </c>
      <c r="E553" s="97">
        <f t="shared" si="33"/>
        <v>557</v>
      </c>
      <c r="F553" s="97">
        <f t="shared" si="34"/>
        <v>13035</v>
      </c>
      <c r="G553" s="97">
        <f t="shared" si="35"/>
        <v>8035</v>
      </c>
    </row>
    <row r="554" spans="1:7" x14ac:dyDescent="0.2">
      <c r="A554" s="97">
        <v>552</v>
      </c>
      <c r="B554" s="101">
        <v>1579</v>
      </c>
      <c r="D554" s="97">
        <f t="shared" si="32"/>
        <v>552</v>
      </c>
      <c r="E554" s="97">
        <f t="shared" si="33"/>
        <v>558</v>
      </c>
      <c r="F554" s="97">
        <f t="shared" si="34"/>
        <v>11948</v>
      </c>
      <c r="G554" s="97">
        <f t="shared" si="35"/>
        <v>6948</v>
      </c>
    </row>
    <row r="555" spans="1:7" x14ac:dyDescent="0.2">
      <c r="A555" s="97">
        <v>553</v>
      </c>
      <c r="B555" s="101">
        <v>1090</v>
      </c>
      <c r="D555" s="97">
        <f t="shared" si="32"/>
        <v>553</v>
      </c>
      <c r="E555" s="97">
        <f t="shared" si="33"/>
        <v>559</v>
      </c>
      <c r="F555" s="97">
        <f t="shared" si="34"/>
        <v>11857</v>
      </c>
      <c r="G555" s="97">
        <f t="shared" si="35"/>
        <v>6857</v>
      </c>
    </row>
    <row r="556" spans="1:7" x14ac:dyDescent="0.2">
      <c r="A556" s="97">
        <v>554</v>
      </c>
      <c r="B556" s="101">
        <v>1808</v>
      </c>
      <c r="D556" s="97">
        <f t="shared" si="32"/>
        <v>554</v>
      </c>
      <c r="E556" s="97">
        <f t="shared" si="33"/>
        <v>560</v>
      </c>
      <c r="F556" s="97">
        <f t="shared" si="34"/>
        <v>12216</v>
      </c>
      <c r="G556" s="97">
        <f t="shared" si="35"/>
        <v>7216</v>
      </c>
    </row>
    <row r="557" spans="1:7" x14ac:dyDescent="0.2">
      <c r="A557" s="97">
        <v>555</v>
      </c>
      <c r="B557" s="101">
        <v>534</v>
      </c>
      <c r="D557" s="97">
        <f t="shared" si="32"/>
        <v>555</v>
      </c>
      <c r="E557" s="97">
        <f t="shared" si="33"/>
        <v>561</v>
      </c>
      <c r="F557" s="97">
        <f t="shared" si="34"/>
        <v>12601</v>
      </c>
      <c r="G557" s="97">
        <f t="shared" si="35"/>
        <v>7601</v>
      </c>
    </row>
    <row r="558" spans="1:7" x14ac:dyDescent="0.2">
      <c r="A558" s="97">
        <v>556</v>
      </c>
      <c r="B558" s="101">
        <v>4049</v>
      </c>
      <c r="D558" s="97">
        <f t="shared" si="32"/>
        <v>556</v>
      </c>
      <c r="E558" s="97">
        <f t="shared" si="33"/>
        <v>562</v>
      </c>
      <c r="F558" s="97">
        <f t="shared" si="34"/>
        <v>13838</v>
      </c>
      <c r="G558" s="97">
        <f t="shared" si="35"/>
        <v>8838</v>
      </c>
    </row>
    <row r="559" spans="1:7" x14ac:dyDescent="0.2">
      <c r="A559" s="97">
        <v>557</v>
      </c>
      <c r="B559" s="101">
        <v>1235</v>
      </c>
      <c r="D559" s="97">
        <f t="shared" si="32"/>
        <v>557</v>
      </c>
      <c r="E559" s="97">
        <f t="shared" si="33"/>
        <v>563</v>
      </c>
      <c r="F559" s="97">
        <f t="shared" si="34"/>
        <v>11815</v>
      </c>
      <c r="G559" s="97">
        <f t="shared" si="35"/>
        <v>6815</v>
      </c>
    </row>
    <row r="560" spans="1:7" x14ac:dyDescent="0.2">
      <c r="A560" s="97">
        <v>558</v>
      </c>
      <c r="B560" s="101">
        <v>1653</v>
      </c>
      <c r="D560" s="97">
        <f t="shared" si="32"/>
        <v>558</v>
      </c>
      <c r="E560" s="97">
        <f t="shared" si="33"/>
        <v>564</v>
      </c>
      <c r="F560" s="97">
        <f t="shared" si="34"/>
        <v>11771</v>
      </c>
      <c r="G560" s="97">
        <f t="shared" si="35"/>
        <v>6771</v>
      </c>
    </row>
    <row r="561" spans="1:7" x14ac:dyDescent="0.2">
      <c r="A561" s="97">
        <v>559</v>
      </c>
      <c r="B561" s="101">
        <v>1488</v>
      </c>
      <c r="D561" s="97">
        <f t="shared" si="32"/>
        <v>559</v>
      </c>
      <c r="E561" s="97">
        <f t="shared" si="33"/>
        <v>565</v>
      </c>
      <c r="F561" s="97">
        <f t="shared" si="34"/>
        <v>12107</v>
      </c>
      <c r="G561" s="97">
        <f t="shared" si="35"/>
        <v>7107</v>
      </c>
    </row>
    <row r="562" spans="1:7" x14ac:dyDescent="0.2">
      <c r="A562" s="97">
        <v>560</v>
      </c>
      <c r="B562" s="101">
        <v>1449</v>
      </c>
      <c r="D562" s="97">
        <f t="shared" si="32"/>
        <v>560</v>
      </c>
      <c r="E562" s="97">
        <f t="shared" si="33"/>
        <v>566</v>
      </c>
      <c r="F562" s="97">
        <f t="shared" si="34"/>
        <v>12075</v>
      </c>
      <c r="G562" s="97">
        <f t="shared" si="35"/>
        <v>7075</v>
      </c>
    </row>
    <row r="563" spans="1:7" x14ac:dyDescent="0.2">
      <c r="A563" s="97">
        <v>561</v>
      </c>
      <c r="B563" s="101">
        <v>2193</v>
      </c>
      <c r="D563" s="97">
        <f t="shared" si="32"/>
        <v>561</v>
      </c>
      <c r="E563" s="97">
        <f t="shared" si="33"/>
        <v>567</v>
      </c>
      <c r="F563" s="97">
        <f t="shared" si="34"/>
        <v>11770</v>
      </c>
      <c r="G563" s="97">
        <f t="shared" si="35"/>
        <v>6770</v>
      </c>
    </row>
    <row r="564" spans="1:7" x14ac:dyDescent="0.2">
      <c r="A564" s="97">
        <v>562</v>
      </c>
      <c r="B564" s="101">
        <v>1771</v>
      </c>
      <c r="D564" s="97">
        <f t="shared" si="32"/>
        <v>562</v>
      </c>
      <c r="E564" s="97">
        <f t="shared" si="33"/>
        <v>568</v>
      </c>
      <c r="F564" s="97">
        <f t="shared" si="34"/>
        <v>13323</v>
      </c>
      <c r="G564" s="97">
        <f t="shared" si="35"/>
        <v>8323</v>
      </c>
    </row>
    <row r="565" spans="1:7" x14ac:dyDescent="0.2">
      <c r="A565" s="97">
        <v>563</v>
      </c>
      <c r="B565" s="101">
        <v>2026</v>
      </c>
      <c r="D565" s="97">
        <f t="shared" si="32"/>
        <v>563</v>
      </c>
      <c r="E565" s="97">
        <f t="shared" si="33"/>
        <v>569</v>
      </c>
      <c r="F565" s="97">
        <f t="shared" si="34"/>
        <v>13788</v>
      </c>
      <c r="G565" s="97">
        <f t="shared" si="35"/>
        <v>8788</v>
      </c>
    </row>
    <row r="566" spans="1:7" x14ac:dyDescent="0.2">
      <c r="A566" s="97">
        <v>564</v>
      </c>
      <c r="B566" s="101">
        <v>1191</v>
      </c>
      <c r="D566" s="97">
        <f t="shared" si="32"/>
        <v>564</v>
      </c>
      <c r="E566" s="97">
        <f t="shared" si="33"/>
        <v>570</v>
      </c>
      <c r="F566" s="97">
        <f t="shared" si="34"/>
        <v>11762</v>
      </c>
      <c r="G566" s="97">
        <f t="shared" si="35"/>
        <v>6762</v>
      </c>
    </row>
    <row r="567" spans="1:7" x14ac:dyDescent="0.2">
      <c r="A567" s="97">
        <v>565</v>
      </c>
      <c r="B567" s="101">
        <v>1989</v>
      </c>
      <c r="D567" s="97">
        <f t="shared" si="32"/>
        <v>565</v>
      </c>
      <c r="E567" s="97">
        <f t="shared" si="33"/>
        <v>571</v>
      </c>
      <c r="F567" s="97">
        <f t="shared" si="34"/>
        <v>11834</v>
      </c>
      <c r="G567" s="97">
        <f t="shared" si="35"/>
        <v>6834</v>
      </c>
    </row>
    <row r="568" spans="1:7" x14ac:dyDescent="0.2">
      <c r="A568" s="97">
        <v>566</v>
      </c>
      <c r="B568" s="101">
        <v>1456</v>
      </c>
      <c r="D568" s="97">
        <f t="shared" si="32"/>
        <v>566</v>
      </c>
      <c r="E568" s="97">
        <f t="shared" si="33"/>
        <v>572</v>
      </c>
      <c r="F568" s="97">
        <f t="shared" si="34"/>
        <v>12338</v>
      </c>
      <c r="G568" s="97">
        <f t="shared" si="35"/>
        <v>7338</v>
      </c>
    </row>
    <row r="569" spans="1:7" x14ac:dyDescent="0.2">
      <c r="A569" s="97">
        <v>567</v>
      </c>
      <c r="B569" s="101">
        <v>1144</v>
      </c>
      <c r="D569" s="97">
        <f t="shared" si="32"/>
        <v>567</v>
      </c>
      <c r="E569" s="97">
        <f t="shared" si="33"/>
        <v>573</v>
      </c>
      <c r="F569" s="97">
        <f t="shared" si="34"/>
        <v>12741</v>
      </c>
      <c r="G569" s="97">
        <f t="shared" si="35"/>
        <v>7741</v>
      </c>
    </row>
    <row r="570" spans="1:7" x14ac:dyDescent="0.2">
      <c r="A570" s="97">
        <v>568</v>
      </c>
      <c r="B570" s="101">
        <v>3746</v>
      </c>
      <c r="D570" s="97">
        <f t="shared" si="32"/>
        <v>568</v>
      </c>
      <c r="E570" s="97">
        <f t="shared" si="33"/>
        <v>574</v>
      </c>
      <c r="F570" s="97">
        <f t="shared" si="34"/>
        <v>13207</v>
      </c>
      <c r="G570" s="97">
        <f t="shared" si="35"/>
        <v>8207</v>
      </c>
    </row>
    <row r="571" spans="1:7" x14ac:dyDescent="0.2">
      <c r="A571" s="97">
        <v>569</v>
      </c>
      <c r="B571" s="101">
        <v>2236</v>
      </c>
      <c r="D571" s="97">
        <f t="shared" si="32"/>
        <v>569</v>
      </c>
      <c r="E571" s="97">
        <f t="shared" si="33"/>
        <v>575</v>
      </c>
      <c r="F571" s="97">
        <f t="shared" si="34"/>
        <v>9879</v>
      </c>
      <c r="G571" s="97">
        <f t="shared" si="35"/>
        <v>4879</v>
      </c>
    </row>
    <row r="572" spans="1:7" x14ac:dyDescent="0.2">
      <c r="A572" s="97">
        <v>570</v>
      </c>
      <c r="B572" s="101">
        <v>0</v>
      </c>
      <c r="D572" s="97">
        <f t="shared" si="32"/>
        <v>570</v>
      </c>
      <c r="E572" s="97">
        <f t="shared" si="33"/>
        <v>576</v>
      </c>
      <c r="F572" s="97">
        <f t="shared" si="34"/>
        <v>10101</v>
      </c>
      <c r="G572" s="97">
        <f t="shared" si="35"/>
        <v>5101</v>
      </c>
    </row>
    <row r="573" spans="1:7" x14ac:dyDescent="0.2">
      <c r="A573" s="97">
        <v>571</v>
      </c>
      <c r="B573" s="101">
        <v>1263</v>
      </c>
      <c r="D573" s="97">
        <f t="shared" si="32"/>
        <v>571</v>
      </c>
      <c r="E573" s="97">
        <f t="shared" si="33"/>
        <v>577</v>
      </c>
      <c r="F573" s="97">
        <f t="shared" si="34"/>
        <v>13334</v>
      </c>
      <c r="G573" s="97">
        <f t="shared" si="35"/>
        <v>8334</v>
      </c>
    </row>
    <row r="574" spans="1:7" x14ac:dyDescent="0.2">
      <c r="A574" s="97">
        <v>572</v>
      </c>
      <c r="B574" s="101">
        <v>2493</v>
      </c>
      <c r="D574" s="97">
        <f t="shared" si="32"/>
        <v>572</v>
      </c>
      <c r="E574" s="97">
        <f t="shared" si="33"/>
        <v>578</v>
      </c>
      <c r="F574" s="97">
        <f t="shared" si="34"/>
        <v>14217</v>
      </c>
      <c r="G574" s="97">
        <f t="shared" si="35"/>
        <v>9217</v>
      </c>
    </row>
    <row r="575" spans="1:7" x14ac:dyDescent="0.2">
      <c r="A575" s="97">
        <v>573</v>
      </c>
      <c r="B575" s="101">
        <v>1859</v>
      </c>
      <c r="D575" s="97">
        <f t="shared" si="32"/>
        <v>573</v>
      </c>
      <c r="E575" s="97">
        <f t="shared" si="33"/>
        <v>579</v>
      </c>
      <c r="F575" s="97">
        <f t="shared" si="34"/>
        <v>15493</v>
      </c>
      <c r="G575" s="97">
        <f t="shared" si="35"/>
        <v>10493</v>
      </c>
    </row>
    <row r="576" spans="1:7" x14ac:dyDescent="0.2">
      <c r="A576" s="97">
        <v>574</v>
      </c>
      <c r="B576" s="101">
        <v>1610</v>
      </c>
      <c r="D576" s="97">
        <f t="shared" si="32"/>
        <v>574</v>
      </c>
      <c r="E576" s="97">
        <f t="shared" si="33"/>
        <v>580</v>
      </c>
      <c r="F576" s="97">
        <f t="shared" si="34"/>
        <v>15620</v>
      </c>
      <c r="G576" s="97">
        <f t="shared" si="35"/>
        <v>10620</v>
      </c>
    </row>
    <row r="577" spans="1:7" x14ac:dyDescent="0.2">
      <c r="A577" s="97">
        <v>575</v>
      </c>
      <c r="B577" s="101">
        <v>418</v>
      </c>
      <c r="D577" s="97">
        <f t="shared" si="32"/>
        <v>575</v>
      </c>
      <c r="E577" s="97">
        <f t="shared" si="33"/>
        <v>581</v>
      </c>
      <c r="F577" s="97">
        <f t="shared" si="34"/>
        <v>17125</v>
      </c>
      <c r="G577" s="97">
        <f t="shared" si="35"/>
        <v>12125</v>
      </c>
    </row>
    <row r="578" spans="1:7" x14ac:dyDescent="0.2">
      <c r="A578" s="97">
        <v>576</v>
      </c>
      <c r="B578" s="101">
        <v>2458</v>
      </c>
      <c r="D578" s="97">
        <f t="shared" si="32"/>
        <v>576</v>
      </c>
      <c r="E578" s="97">
        <f t="shared" si="33"/>
        <v>582</v>
      </c>
      <c r="F578" s="97">
        <f t="shared" si="34"/>
        <v>18217</v>
      </c>
      <c r="G578" s="97">
        <f t="shared" si="35"/>
        <v>13217</v>
      </c>
    </row>
    <row r="579" spans="1:7" x14ac:dyDescent="0.2">
      <c r="A579" s="97">
        <v>577</v>
      </c>
      <c r="B579" s="101">
        <v>3233</v>
      </c>
      <c r="D579" s="97">
        <f t="shared" si="32"/>
        <v>577</v>
      </c>
      <c r="E579" s="97">
        <f t="shared" si="33"/>
        <v>583</v>
      </c>
      <c r="F579" s="97">
        <f t="shared" si="34"/>
        <v>16999</v>
      </c>
      <c r="G579" s="97">
        <f t="shared" si="35"/>
        <v>11999</v>
      </c>
    </row>
    <row r="580" spans="1:7" x14ac:dyDescent="0.2">
      <c r="A580" s="97">
        <v>578</v>
      </c>
      <c r="B580" s="101">
        <v>2146</v>
      </c>
      <c r="D580" s="97">
        <f t="shared" ref="D580:D643" si="36">A580</f>
        <v>578</v>
      </c>
      <c r="E580" s="97">
        <f t="shared" ref="E580:E643" si="37">A586</f>
        <v>584</v>
      </c>
      <c r="F580" s="97">
        <f t="shared" ref="F580:F643" si="38">SUM(B580:B586)</f>
        <v>15126</v>
      </c>
      <c r="G580" s="97">
        <f t="shared" ref="G580:G643" si="39">MAX(F580-$J$5,0)</f>
        <v>10126</v>
      </c>
    </row>
    <row r="581" spans="1:7" x14ac:dyDescent="0.2">
      <c r="A581" s="97">
        <v>579</v>
      </c>
      <c r="B581" s="101">
        <v>3769</v>
      </c>
      <c r="D581" s="97">
        <f t="shared" si="36"/>
        <v>579</v>
      </c>
      <c r="E581" s="97">
        <f t="shared" si="37"/>
        <v>585</v>
      </c>
      <c r="F581" s="97">
        <f t="shared" si="38"/>
        <v>16553</v>
      </c>
      <c r="G581" s="97">
        <f t="shared" si="39"/>
        <v>11553</v>
      </c>
    </row>
    <row r="582" spans="1:7" x14ac:dyDescent="0.2">
      <c r="A582" s="97">
        <v>580</v>
      </c>
      <c r="B582" s="101">
        <v>1986</v>
      </c>
      <c r="D582" s="97">
        <f t="shared" si="36"/>
        <v>580</v>
      </c>
      <c r="E582" s="97">
        <f t="shared" si="37"/>
        <v>586</v>
      </c>
      <c r="F582" s="97">
        <f t="shared" si="38"/>
        <v>13423</v>
      </c>
      <c r="G582" s="97">
        <f t="shared" si="39"/>
        <v>8423</v>
      </c>
    </row>
    <row r="583" spans="1:7" x14ac:dyDescent="0.2">
      <c r="A583" s="97">
        <v>581</v>
      </c>
      <c r="B583" s="101">
        <v>3115</v>
      </c>
      <c r="D583" s="97">
        <f t="shared" si="36"/>
        <v>581</v>
      </c>
      <c r="E583" s="97">
        <f t="shared" si="37"/>
        <v>587</v>
      </c>
      <c r="F583" s="97">
        <f t="shared" si="38"/>
        <v>13220</v>
      </c>
      <c r="G583" s="97">
        <f t="shared" si="39"/>
        <v>8220</v>
      </c>
    </row>
    <row r="584" spans="1:7" x14ac:dyDescent="0.2">
      <c r="A584" s="97">
        <v>582</v>
      </c>
      <c r="B584" s="101">
        <v>1510</v>
      </c>
      <c r="D584" s="97">
        <f t="shared" si="36"/>
        <v>582</v>
      </c>
      <c r="E584" s="97">
        <f t="shared" si="37"/>
        <v>588</v>
      </c>
      <c r="F584" s="97">
        <f t="shared" si="38"/>
        <v>12810</v>
      </c>
      <c r="G584" s="97">
        <f t="shared" si="39"/>
        <v>7810</v>
      </c>
    </row>
    <row r="585" spans="1:7" x14ac:dyDescent="0.2">
      <c r="A585" s="97">
        <v>583</v>
      </c>
      <c r="B585" s="101">
        <v>1240</v>
      </c>
      <c r="D585" s="97">
        <f t="shared" si="36"/>
        <v>583</v>
      </c>
      <c r="E585" s="97">
        <f t="shared" si="37"/>
        <v>589</v>
      </c>
      <c r="F585" s="97">
        <f t="shared" si="38"/>
        <v>13581</v>
      </c>
      <c r="G585" s="97">
        <f t="shared" si="39"/>
        <v>8581</v>
      </c>
    </row>
    <row r="586" spans="1:7" x14ac:dyDescent="0.2">
      <c r="A586" s="97">
        <v>584</v>
      </c>
      <c r="B586" s="101">
        <v>1360</v>
      </c>
      <c r="D586" s="97">
        <f t="shared" si="36"/>
        <v>584</v>
      </c>
      <c r="E586" s="97">
        <f t="shared" si="37"/>
        <v>590</v>
      </c>
      <c r="F586" s="97">
        <f t="shared" si="38"/>
        <v>13702</v>
      </c>
      <c r="G586" s="97">
        <f t="shared" si="39"/>
        <v>8702</v>
      </c>
    </row>
    <row r="587" spans="1:7" x14ac:dyDescent="0.2">
      <c r="A587" s="97">
        <v>585</v>
      </c>
      <c r="B587" s="101">
        <v>3573</v>
      </c>
      <c r="D587" s="97">
        <f t="shared" si="36"/>
        <v>585</v>
      </c>
      <c r="E587" s="97">
        <f t="shared" si="37"/>
        <v>591</v>
      </c>
      <c r="F587" s="97">
        <f t="shared" si="38"/>
        <v>13497</v>
      </c>
      <c r="G587" s="97">
        <f t="shared" si="39"/>
        <v>8497</v>
      </c>
    </row>
    <row r="588" spans="1:7" x14ac:dyDescent="0.2">
      <c r="A588" s="97">
        <v>586</v>
      </c>
      <c r="B588" s="101">
        <v>639</v>
      </c>
      <c r="D588" s="97">
        <f t="shared" si="36"/>
        <v>586</v>
      </c>
      <c r="E588" s="97">
        <f t="shared" si="37"/>
        <v>592</v>
      </c>
      <c r="F588" s="97">
        <f t="shared" si="38"/>
        <v>12367</v>
      </c>
      <c r="G588" s="97">
        <f t="shared" si="39"/>
        <v>7367</v>
      </c>
    </row>
    <row r="589" spans="1:7" x14ac:dyDescent="0.2">
      <c r="A589" s="97">
        <v>587</v>
      </c>
      <c r="B589" s="101">
        <v>1783</v>
      </c>
      <c r="D589" s="97">
        <f t="shared" si="36"/>
        <v>587</v>
      </c>
      <c r="E589" s="97">
        <f t="shared" si="37"/>
        <v>593</v>
      </c>
      <c r="F589" s="97">
        <f t="shared" si="38"/>
        <v>13767</v>
      </c>
      <c r="G589" s="97">
        <f t="shared" si="39"/>
        <v>8767</v>
      </c>
    </row>
    <row r="590" spans="1:7" x14ac:dyDescent="0.2">
      <c r="A590" s="97">
        <v>588</v>
      </c>
      <c r="B590" s="101">
        <v>2705</v>
      </c>
      <c r="D590" s="97">
        <f t="shared" si="36"/>
        <v>588</v>
      </c>
      <c r="E590" s="97">
        <f t="shared" si="37"/>
        <v>594</v>
      </c>
      <c r="F590" s="97">
        <f t="shared" si="38"/>
        <v>12255</v>
      </c>
      <c r="G590" s="97">
        <f t="shared" si="39"/>
        <v>7255</v>
      </c>
    </row>
    <row r="591" spans="1:7" x14ac:dyDescent="0.2">
      <c r="A591" s="97">
        <v>589</v>
      </c>
      <c r="B591" s="101">
        <v>2281</v>
      </c>
      <c r="D591" s="97">
        <f t="shared" si="36"/>
        <v>589</v>
      </c>
      <c r="E591" s="97">
        <f t="shared" si="37"/>
        <v>595</v>
      </c>
      <c r="F591" s="97">
        <f t="shared" si="38"/>
        <v>9990</v>
      </c>
      <c r="G591" s="97">
        <f t="shared" si="39"/>
        <v>4990</v>
      </c>
    </row>
    <row r="592" spans="1:7" x14ac:dyDescent="0.2">
      <c r="A592" s="97">
        <v>590</v>
      </c>
      <c r="B592" s="101">
        <v>1361</v>
      </c>
      <c r="D592" s="97">
        <f t="shared" si="36"/>
        <v>590</v>
      </c>
      <c r="E592" s="97">
        <f t="shared" si="37"/>
        <v>596</v>
      </c>
      <c r="F592" s="97">
        <f t="shared" si="38"/>
        <v>8889</v>
      </c>
      <c r="G592" s="97">
        <f t="shared" si="39"/>
        <v>3889</v>
      </c>
    </row>
    <row r="593" spans="1:7" x14ac:dyDescent="0.2">
      <c r="A593" s="97">
        <v>591</v>
      </c>
      <c r="B593" s="101">
        <v>1155</v>
      </c>
      <c r="D593" s="97">
        <f t="shared" si="36"/>
        <v>591</v>
      </c>
      <c r="E593" s="97">
        <f t="shared" si="37"/>
        <v>597</v>
      </c>
      <c r="F593" s="97">
        <f t="shared" si="38"/>
        <v>9192</v>
      </c>
      <c r="G593" s="97">
        <f t="shared" si="39"/>
        <v>4192</v>
      </c>
    </row>
    <row r="594" spans="1:7" x14ac:dyDescent="0.2">
      <c r="A594" s="97">
        <v>592</v>
      </c>
      <c r="B594" s="101">
        <v>2443</v>
      </c>
      <c r="D594" s="97">
        <f t="shared" si="36"/>
        <v>592</v>
      </c>
      <c r="E594" s="97">
        <f t="shared" si="37"/>
        <v>598</v>
      </c>
      <c r="F594" s="97">
        <f t="shared" si="38"/>
        <v>9766</v>
      </c>
      <c r="G594" s="97">
        <f t="shared" si="39"/>
        <v>4766</v>
      </c>
    </row>
    <row r="595" spans="1:7" x14ac:dyDescent="0.2">
      <c r="A595" s="97">
        <v>593</v>
      </c>
      <c r="B595" s="101">
        <v>2039</v>
      </c>
      <c r="D595" s="97">
        <f t="shared" si="36"/>
        <v>593</v>
      </c>
      <c r="E595" s="97">
        <f t="shared" si="37"/>
        <v>599</v>
      </c>
      <c r="F595" s="97">
        <f t="shared" si="38"/>
        <v>8234</v>
      </c>
      <c r="G595" s="97">
        <f t="shared" si="39"/>
        <v>3234</v>
      </c>
    </row>
    <row r="596" spans="1:7" x14ac:dyDescent="0.2">
      <c r="A596" s="97">
        <v>594</v>
      </c>
      <c r="B596" s="101">
        <v>271</v>
      </c>
      <c r="D596" s="97">
        <f t="shared" si="36"/>
        <v>594</v>
      </c>
      <c r="E596" s="97">
        <f t="shared" si="37"/>
        <v>600</v>
      </c>
      <c r="F596" s="97">
        <f t="shared" si="38"/>
        <v>7110</v>
      </c>
      <c r="G596" s="97">
        <f t="shared" si="39"/>
        <v>2110</v>
      </c>
    </row>
    <row r="597" spans="1:7" x14ac:dyDescent="0.2">
      <c r="A597" s="97">
        <v>595</v>
      </c>
      <c r="B597" s="101">
        <v>440</v>
      </c>
      <c r="D597" s="97">
        <f t="shared" si="36"/>
        <v>595</v>
      </c>
      <c r="E597" s="97">
        <f t="shared" si="37"/>
        <v>601</v>
      </c>
      <c r="F597" s="97">
        <f t="shared" si="38"/>
        <v>7954</v>
      </c>
      <c r="G597" s="97">
        <f t="shared" si="39"/>
        <v>2954</v>
      </c>
    </row>
    <row r="598" spans="1:7" x14ac:dyDescent="0.2">
      <c r="A598" s="97">
        <v>596</v>
      </c>
      <c r="B598" s="101">
        <v>1180</v>
      </c>
      <c r="D598" s="97">
        <f t="shared" si="36"/>
        <v>596</v>
      </c>
      <c r="E598" s="97">
        <f t="shared" si="37"/>
        <v>602</v>
      </c>
      <c r="F598" s="97">
        <f t="shared" si="38"/>
        <v>10052</v>
      </c>
      <c r="G598" s="97">
        <f t="shared" si="39"/>
        <v>5052</v>
      </c>
    </row>
    <row r="599" spans="1:7" x14ac:dyDescent="0.2">
      <c r="A599" s="97">
        <v>597</v>
      </c>
      <c r="B599" s="101">
        <v>1664</v>
      </c>
      <c r="D599" s="97">
        <f t="shared" si="36"/>
        <v>597</v>
      </c>
      <c r="E599" s="97">
        <f t="shared" si="37"/>
        <v>603</v>
      </c>
      <c r="F599" s="97">
        <f t="shared" si="38"/>
        <v>10480</v>
      </c>
      <c r="G599" s="97">
        <f t="shared" si="39"/>
        <v>5480</v>
      </c>
    </row>
    <row r="600" spans="1:7" x14ac:dyDescent="0.2">
      <c r="A600" s="97">
        <v>598</v>
      </c>
      <c r="B600" s="101">
        <v>1729</v>
      </c>
      <c r="D600" s="97">
        <f t="shared" si="36"/>
        <v>598</v>
      </c>
      <c r="E600" s="97">
        <f t="shared" si="37"/>
        <v>604</v>
      </c>
      <c r="F600" s="97">
        <f t="shared" si="38"/>
        <v>10265</v>
      </c>
      <c r="G600" s="97">
        <f t="shared" si="39"/>
        <v>5265</v>
      </c>
    </row>
    <row r="601" spans="1:7" x14ac:dyDescent="0.2">
      <c r="A601" s="97">
        <v>599</v>
      </c>
      <c r="B601" s="101">
        <v>911</v>
      </c>
      <c r="D601" s="97">
        <f t="shared" si="36"/>
        <v>599</v>
      </c>
      <c r="E601" s="97">
        <f t="shared" si="37"/>
        <v>605</v>
      </c>
      <c r="F601" s="97">
        <f t="shared" si="38"/>
        <v>10275</v>
      </c>
      <c r="G601" s="97">
        <f t="shared" si="39"/>
        <v>5275</v>
      </c>
    </row>
    <row r="602" spans="1:7" x14ac:dyDescent="0.2">
      <c r="A602" s="97">
        <v>600</v>
      </c>
      <c r="B602" s="101">
        <v>915</v>
      </c>
      <c r="D602" s="97">
        <f t="shared" si="36"/>
        <v>600</v>
      </c>
      <c r="E602" s="97">
        <f t="shared" si="37"/>
        <v>606</v>
      </c>
      <c r="F602" s="97">
        <f t="shared" si="38"/>
        <v>12647</v>
      </c>
      <c r="G602" s="97">
        <f t="shared" si="39"/>
        <v>7647</v>
      </c>
    </row>
    <row r="603" spans="1:7" x14ac:dyDescent="0.2">
      <c r="A603" s="97">
        <v>601</v>
      </c>
      <c r="B603" s="101">
        <v>1115</v>
      </c>
      <c r="D603" s="97">
        <f t="shared" si="36"/>
        <v>601</v>
      </c>
      <c r="E603" s="97">
        <f t="shared" si="37"/>
        <v>607</v>
      </c>
      <c r="F603" s="97">
        <f t="shared" si="38"/>
        <v>14835</v>
      </c>
      <c r="G603" s="97">
        <f t="shared" si="39"/>
        <v>9835</v>
      </c>
    </row>
    <row r="604" spans="1:7" x14ac:dyDescent="0.2">
      <c r="A604" s="97">
        <v>602</v>
      </c>
      <c r="B604" s="101">
        <v>2538</v>
      </c>
      <c r="D604" s="97">
        <f t="shared" si="36"/>
        <v>602</v>
      </c>
      <c r="E604" s="97">
        <f t="shared" si="37"/>
        <v>608</v>
      </c>
      <c r="F604" s="97">
        <f t="shared" si="38"/>
        <v>14853</v>
      </c>
      <c r="G604" s="97">
        <f t="shared" si="39"/>
        <v>9853</v>
      </c>
    </row>
    <row r="605" spans="1:7" x14ac:dyDescent="0.2">
      <c r="A605" s="97">
        <v>603</v>
      </c>
      <c r="B605" s="101">
        <v>1608</v>
      </c>
      <c r="D605" s="97">
        <f t="shared" si="36"/>
        <v>603</v>
      </c>
      <c r="E605" s="97">
        <f t="shared" si="37"/>
        <v>609</v>
      </c>
      <c r="F605" s="97">
        <f t="shared" si="38"/>
        <v>13869</v>
      </c>
      <c r="G605" s="97">
        <f t="shared" si="39"/>
        <v>8869</v>
      </c>
    </row>
    <row r="606" spans="1:7" x14ac:dyDescent="0.2">
      <c r="A606" s="97">
        <v>604</v>
      </c>
      <c r="B606" s="101">
        <v>1449</v>
      </c>
      <c r="D606" s="97">
        <f t="shared" si="36"/>
        <v>604</v>
      </c>
      <c r="E606" s="97">
        <f t="shared" si="37"/>
        <v>610</v>
      </c>
      <c r="F606" s="97">
        <f t="shared" si="38"/>
        <v>13860</v>
      </c>
      <c r="G606" s="97">
        <f t="shared" si="39"/>
        <v>8860</v>
      </c>
    </row>
    <row r="607" spans="1:7" x14ac:dyDescent="0.2">
      <c r="A607" s="97">
        <v>605</v>
      </c>
      <c r="B607" s="101">
        <v>1739</v>
      </c>
      <c r="D607" s="97">
        <f t="shared" si="36"/>
        <v>605</v>
      </c>
      <c r="E607" s="97">
        <f t="shared" si="37"/>
        <v>611</v>
      </c>
      <c r="F607" s="97">
        <f t="shared" si="38"/>
        <v>14556</v>
      </c>
      <c r="G607" s="97">
        <f t="shared" si="39"/>
        <v>9556</v>
      </c>
    </row>
    <row r="608" spans="1:7" x14ac:dyDescent="0.2">
      <c r="A608" s="97">
        <v>606</v>
      </c>
      <c r="B608" s="101">
        <v>3283</v>
      </c>
      <c r="D608" s="97">
        <f t="shared" si="36"/>
        <v>606</v>
      </c>
      <c r="E608" s="97">
        <f t="shared" si="37"/>
        <v>612</v>
      </c>
      <c r="F608" s="97">
        <f t="shared" si="38"/>
        <v>15225</v>
      </c>
      <c r="G608" s="97">
        <f t="shared" si="39"/>
        <v>10225</v>
      </c>
    </row>
    <row r="609" spans="1:7" x14ac:dyDescent="0.2">
      <c r="A609" s="97">
        <v>607</v>
      </c>
      <c r="B609" s="101">
        <v>3103</v>
      </c>
      <c r="D609" s="97">
        <f t="shared" si="36"/>
        <v>607</v>
      </c>
      <c r="E609" s="97">
        <f t="shared" si="37"/>
        <v>613</v>
      </c>
      <c r="F609" s="97">
        <f t="shared" si="38"/>
        <v>14702</v>
      </c>
      <c r="G609" s="97">
        <f t="shared" si="39"/>
        <v>9702</v>
      </c>
    </row>
    <row r="610" spans="1:7" x14ac:dyDescent="0.2">
      <c r="A610" s="97">
        <v>608</v>
      </c>
      <c r="B610" s="101">
        <v>1133</v>
      </c>
      <c r="D610" s="97">
        <f t="shared" si="36"/>
        <v>608</v>
      </c>
      <c r="E610" s="97">
        <f t="shared" si="37"/>
        <v>614</v>
      </c>
      <c r="F610" s="97">
        <f t="shared" si="38"/>
        <v>13627</v>
      </c>
      <c r="G610" s="97">
        <f t="shared" si="39"/>
        <v>8627</v>
      </c>
    </row>
    <row r="611" spans="1:7" x14ac:dyDescent="0.2">
      <c r="A611" s="97">
        <v>609</v>
      </c>
      <c r="B611" s="101">
        <v>1554</v>
      </c>
      <c r="D611" s="97">
        <f t="shared" si="36"/>
        <v>609</v>
      </c>
      <c r="E611" s="97">
        <f t="shared" si="37"/>
        <v>615</v>
      </c>
      <c r="F611" s="97">
        <f t="shared" si="38"/>
        <v>14917</v>
      </c>
      <c r="G611" s="97">
        <f t="shared" si="39"/>
        <v>9917</v>
      </c>
    </row>
    <row r="612" spans="1:7" x14ac:dyDescent="0.2">
      <c r="A612" s="97">
        <v>610</v>
      </c>
      <c r="B612" s="101">
        <v>1599</v>
      </c>
      <c r="D612" s="97">
        <f t="shared" si="36"/>
        <v>610</v>
      </c>
      <c r="E612" s="97">
        <f t="shared" si="37"/>
        <v>616</v>
      </c>
      <c r="F612" s="97">
        <f t="shared" si="38"/>
        <v>14561</v>
      </c>
      <c r="G612" s="97">
        <f t="shared" si="39"/>
        <v>9561</v>
      </c>
    </row>
    <row r="613" spans="1:7" x14ac:dyDescent="0.2">
      <c r="A613" s="97">
        <v>611</v>
      </c>
      <c r="B613" s="101">
        <v>2145</v>
      </c>
      <c r="D613" s="97">
        <f t="shared" si="36"/>
        <v>611</v>
      </c>
      <c r="E613" s="97">
        <f t="shared" si="37"/>
        <v>617</v>
      </c>
      <c r="F613" s="97">
        <f t="shared" si="38"/>
        <v>16797</v>
      </c>
      <c r="G613" s="97">
        <f t="shared" si="39"/>
        <v>11797</v>
      </c>
    </row>
    <row r="614" spans="1:7" x14ac:dyDescent="0.2">
      <c r="A614" s="97">
        <v>612</v>
      </c>
      <c r="B614" s="101">
        <v>2408</v>
      </c>
      <c r="D614" s="97">
        <f t="shared" si="36"/>
        <v>612</v>
      </c>
      <c r="E614" s="97">
        <f t="shared" si="37"/>
        <v>618</v>
      </c>
      <c r="F614" s="97">
        <f t="shared" si="38"/>
        <v>17942</v>
      </c>
      <c r="G614" s="97">
        <f t="shared" si="39"/>
        <v>12942</v>
      </c>
    </row>
    <row r="615" spans="1:7" x14ac:dyDescent="0.2">
      <c r="A615" s="97">
        <v>613</v>
      </c>
      <c r="B615" s="101">
        <v>2760</v>
      </c>
      <c r="D615" s="97">
        <f t="shared" si="36"/>
        <v>613</v>
      </c>
      <c r="E615" s="97">
        <f t="shared" si="37"/>
        <v>619</v>
      </c>
      <c r="F615" s="97">
        <f t="shared" si="38"/>
        <v>17785</v>
      </c>
      <c r="G615" s="97">
        <f t="shared" si="39"/>
        <v>12785</v>
      </c>
    </row>
    <row r="616" spans="1:7" x14ac:dyDescent="0.2">
      <c r="A616" s="97">
        <v>614</v>
      </c>
      <c r="B616" s="101">
        <v>2028</v>
      </c>
      <c r="D616" s="97">
        <f t="shared" si="36"/>
        <v>614</v>
      </c>
      <c r="E616" s="97">
        <f t="shared" si="37"/>
        <v>620</v>
      </c>
      <c r="F616" s="97">
        <f t="shared" si="38"/>
        <v>15958</v>
      </c>
      <c r="G616" s="97">
        <f t="shared" si="39"/>
        <v>10958</v>
      </c>
    </row>
    <row r="617" spans="1:7" x14ac:dyDescent="0.2">
      <c r="A617" s="97">
        <v>615</v>
      </c>
      <c r="B617" s="101">
        <v>2423</v>
      </c>
      <c r="D617" s="97">
        <f t="shared" si="36"/>
        <v>615</v>
      </c>
      <c r="E617" s="97">
        <f t="shared" si="37"/>
        <v>621</v>
      </c>
      <c r="F617" s="97">
        <f t="shared" si="38"/>
        <v>16291</v>
      </c>
      <c r="G617" s="97">
        <f t="shared" si="39"/>
        <v>11291</v>
      </c>
    </row>
    <row r="618" spans="1:7" x14ac:dyDescent="0.2">
      <c r="A618" s="97">
        <v>616</v>
      </c>
      <c r="B618" s="101">
        <v>1198</v>
      </c>
      <c r="D618" s="97">
        <f t="shared" si="36"/>
        <v>616</v>
      </c>
      <c r="E618" s="97">
        <f t="shared" si="37"/>
        <v>622</v>
      </c>
      <c r="F618" s="97">
        <f t="shared" si="38"/>
        <v>15756</v>
      </c>
      <c r="G618" s="97">
        <f t="shared" si="39"/>
        <v>10756</v>
      </c>
    </row>
    <row r="619" spans="1:7" x14ac:dyDescent="0.2">
      <c r="A619" s="97">
        <v>617</v>
      </c>
      <c r="B619" s="101">
        <v>3835</v>
      </c>
      <c r="D619" s="97">
        <f t="shared" si="36"/>
        <v>617</v>
      </c>
      <c r="E619" s="97">
        <f t="shared" si="37"/>
        <v>623</v>
      </c>
      <c r="F619" s="97">
        <f t="shared" si="38"/>
        <v>15969</v>
      </c>
      <c r="G619" s="97">
        <f t="shared" si="39"/>
        <v>10969</v>
      </c>
    </row>
    <row r="620" spans="1:7" x14ac:dyDescent="0.2">
      <c r="A620" s="97">
        <v>618</v>
      </c>
      <c r="B620" s="101">
        <v>3290</v>
      </c>
      <c r="D620" s="97">
        <f t="shared" si="36"/>
        <v>618</v>
      </c>
      <c r="E620" s="97">
        <f t="shared" si="37"/>
        <v>624</v>
      </c>
      <c r="F620" s="97">
        <f t="shared" si="38"/>
        <v>15004</v>
      </c>
      <c r="G620" s="97">
        <f t="shared" si="39"/>
        <v>10004</v>
      </c>
    </row>
    <row r="621" spans="1:7" x14ac:dyDescent="0.2">
      <c r="A621" s="97">
        <v>619</v>
      </c>
      <c r="B621" s="101">
        <v>2251</v>
      </c>
      <c r="D621" s="97">
        <f t="shared" si="36"/>
        <v>619</v>
      </c>
      <c r="E621" s="97">
        <f t="shared" si="37"/>
        <v>625</v>
      </c>
      <c r="F621" s="97">
        <f t="shared" si="38"/>
        <v>11714</v>
      </c>
      <c r="G621" s="97">
        <f t="shared" si="39"/>
        <v>6714</v>
      </c>
    </row>
    <row r="622" spans="1:7" x14ac:dyDescent="0.2">
      <c r="A622" s="97">
        <v>620</v>
      </c>
      <c r="B622" s="101">
        <v>933</v>
      </c>
      <c r="D622" s="97">
        <f t="shared" si="36"/>
        <v>620</v>
      </c>
      <c r="E622" s="97">
        <f t="shared" si="37"/>
        <v>626</v>
      </c>
      <c r="F622" s="97">
        <f t="shared" si="38"/>
        <v>13006</v>
      </c>
      <c r="G622" s="97">
        <f t="shared" si="39"/>
        <v>8006</v>
      </c>
    </row>
    <row r="623" spans="1:7" x14ac:dyDescent="0.2">
      <c r="A623" s="97">
        <v>621</v>
      </c>
      <c r="B623" s="101">
        <v>2361</v>
      </c>
      <c r="D623" s="97">
        <f t="shared" si="36"/>
        <v>621</v>
      </c>
      <c r="E623" s="97">
        <f t="shared" si="37"/>
        <v>627</v>
      </c>
      <c r="F623" s="97">
        <f t="shared" si="38"/>
        <v>13166</v>
      </c>
      <c r="G623" s="97">
        <f t="shared" si="39"/>
        <v>8166</v>
      </c>
    </row>
    <row r="624" spans="1:7" x14ac:dyDescent="0.2">
      <c r="A624" s="97">
        <v>622</v>
      </c>
      <c r="B624" s="101">
        <v>1888</v>
      </c>
      <c r="D624" s="97">
        <f t="shared" si="36"/>
        <v>622</v>
      </c>
      <c r="E624" s="97">
        <f t="shared" si="37"/>
        <v>628</v>
      </c>
      <c r="F624" s="97">
        <f t="shared" si="38"/>
        <v>11978</v>
      </c>
      <c r="G624" s="97">
        <f t="shared" si="39"/>
        <v>6978</v>
      </c>
    </row>
    <row r="625" spans="1:7" x14ac:dyDescent="0.2">
      <c r="A625" s="97">
        <v>623</v>
      </c>
      <c r="B625" s="101">
        <v>1411</v>
      </c>
      <c r="D625" s="97">
        <f t="shared" si="36"/>
        <v>623</v>
      </c>
      <c r="E625" s="97">
        <f t="shared" si="37"/>
        <v>629</v>
      </c>
      <c r="F625" s="97">
        <f t="shared" si="38"/>
        <v>10650</v>
      </c>
      <c r="G625" s="97">
        <f t="shared" si="39"/>
        <v>5650</v>
      </c>
    </row>
    <row r="626" spans="1:7" x14ac:dyDescent="0.2">
      <c r="A626" s="97">
        <v>624</v>
      </c>
      <c r="B626" s="101">
        <v>2870</v>
      </c>
      <c r="D626" s="97">
        <f t="shared" si="36"/>
        <v>624</v>
      </c>
      <c r="E626" s="97">
        <f t="shared" si="37"/>
        <v>630</v>
      </c>
      <c r="F626" s="97">
        <f t="shared" si="38"/>
        <v>10958</v>
      </c>
      <c r="G626" s="97">
        <f t="shared" si="39"/>
        <v>5958</v>
      </c>
    </row>
    <row r="627" spans="1:7" x14ac:dyDescent="0.2">
      <c r="A627" s="97">
        <v>625</v>
      </c>
      <c r="B627" s="101">
        <v>0</v>
      </c>
      <c r="D627" s="97">
        <f t="shared" si="36"/>
        <v>625</v>
      </c>
      <c r="E627" s="97">
        <f t="shared" si="37"/>
        <v>631</v>
      </c>
      <c r="F627" s="97">
        <f t="shared" si="38"/>
        <v>9702</v>
      </c>
      <c r="G627" s="97">
        <f t="shared" si="39"/>
        <v>4702</v>
      </c>
    </row>
    <row r="628" spans="1:7" x14ac:dyDescent="0.2">
      <c r="A628" s="97">
        <v>626</v>
      </c>
      <c r="B628" s="101">
        <v>3543</v>
      </c>
      <c r="D628" s="97">
        <f t="shared" si="36"/>
        <v>626</v>
      </c>
      <c r="E628" s="97">
        <f t="shared" si="37"/>
        <v>632</v>
      </c>
      <c r="F628" s="97">
        <f t="shared" si="38"/>
        <v>10741</v>
      </c>
      <c r="G628" s="97">
        <f t="shared" si="39"/>
        <v>5741</v>
      </c>
    </row>
    <row r="629" spans="1:7" x14ac:dyDescent="0.2">
      <c r="A629" s="97">
        <v>627</v>
      </c>
      <c r="B629" s="101">
        <v>1093</v>
      </c>
      <c r="D629" s="97">
        <f t="shared" si="36"/>
        <v>627</v>
      </c>
      <c r="E629" s="97">
        <f t="shared" si="37"/>
        <v>633</v>
      </c>
      <c r="F629" s="97">
        <f t="shared" si="38"/>
        <v>8853</v>
      </c>
      <c r="G629" s="97">
        <f t="shared" si="39"/>
        <v>3853</v>
      </c>
    </row>
    <row r="630" spans="1:7" x14ac:dyDescent="0.2">
      <c r="A630" s="97">
        <v>628</v>
      </c>
      <c r="B630" s="101">
        <v>1173</v>
      </c>
      <c r="D630" s="97">
        <f t="shared" si="36"/>
        <v>628</v>
      </c>
      <c r="E630" s="97">
        <f t="shared" si="37"/>
        <v>634</v>
      </c>
      <c r="F630" s="97">
        <f t="shared" si="38"/>
        <v>9098</v>
      </c>
      <c r="G630" s="97">
        <f t="shared" si="39"/>
        <v>4098</v>
      </c>
    </row>
    <row r="631" spans="1:7" x14ac:dyDescent="0.2">
      <c r="A631" s="97">
        <v>629</v>
      </c>
      <c r="B631" s="101">
        <v>560</v>
      </c>
      <c r="D631" s="97">
        <f t="shared" si="36"/>
        <v>629</v>
      </c>
      <c r="E631" s="97">
        <f t="shared" si="37"/>
        <v>635</v>
      </c>
      <c r="F631" s="97">
        <f t="shared" si="38"/>
        <v>9790</v>
      </c>
      <c r="G631" s="97">
        <f t="shared" si="39"/>
        <v>4790</v>
      </c>
    </row>
    <row r="632" spans="1:7" x14ac:dyDescent="0.2">
      <c r="A632" s="97">
        <v>630</v>
      </c>
      <c r="B632" s="101">
        <v>1719</v>
      </c>
      <c r="D632" s="97">
        <f t="shared" si="36"/>
        <v>630</v>
      </c>
      <c r="E632" s="97">
        <f t="shared" si="37"/>
        <v>636</v>
      </c>
      <c r="F632" s="97">
        <f t="shared" si="38"/>
        <v>11473</v>
      </c>
      <c r="G632" s="97">
        <f t="shared" si="39"/>
        <v>6473</v>
      </c>
    </row>
    <row r="633" spans="1:7" x14ac:dyDescent="0.2">
      <c r="A633" s="97">
        <v>631</v>
      </c>
      <c r="B633" s="101">
        <v>1614</v>
      </c>
      <c r="D633" s="97">
        <f t="shared" si="36"/>
        <v>631</v>
      </c>
      <c r="E633" s="97">
        <f t="shared" si="37"/>
        <v>637</v>
      </c>
      <c r="F633" s="97">
        <f t="shared" si="38"/>
        <v>12020</v>
      </c>
      <c r="G633" s="97">
        <f t="shared" si="39"/>
        <v>7020</v>
      </c>
    </row>
    <row r="634" spans="1:7" x14ac:dyDescent="0.2">
      <c r="A634" s="97">
        <v>632</v>
      </c>
      <c r="B634" s="101">
        <v>1039</v>
      </c>
      <c r="D634" s="97">
        <f t="shared" si="36"/>
        <v>632</v>
      </c>
      <c r="E634" s="97">
        <f t="shared" si="37"/>
        <v>638</v>
      </c>
      <c r="F634" s="97">
        <f t="shared" si="38"/>
        <v>12449</v>
      </c>
      <c r="G634" s="97">
        <f t="shared" si="39"/>
        <v>7449</v>
      </c>
    </row>
    <row r="635" spans="1:7" x14ac:dyDescent="0.2">
      <c r="A635" s="97">
        <v>633</v>
      </c>
      <c r="B635" s="101">
        <v>1655</v>
      </c>
      <c r="D635" s="97">
        <f t="shared" si="36"/>
        <v>633</v>
      </c>
      <c r="E635" s="97">
        <f t="shared" si="37"/>
        <v>639</v>
      </c>
      <c r="F635" s="97">
        <f t="shared" si="38"/>
        <v>12004</v>
      </c>
      <c r="G635" s="97">
        <f t="shared" si="39"/>
        <v>7004</v>
      </c>
    </row>
    <row r="636" spans="1:7" x14ac:dyDescent="0.2">
      <c r="A636" s="97">
        <v>634</v>
      </c>
      <c r="B636" s="101">
        <v>1338</v>
      </c>
      <c r="D636" s="97">
        <f t="shared" si="36"/>
        <v>634</v>
      </c>
      <c r="E636" s="97">
        <f t="shared" si="37"/>
        <v>640</v>
      </c>
      <c r="F636" s="97">
        <f t="shared" si="38"/>
        <v>12588</v>
      </c>
      <c r="G636" s="97">
        <f t="shared" si="39"/>
        <v>7588</v>
      </c>
    </row>
    <row r="637" spans="1:7" x14ac:dyDescent="0.2">
      <c r="A637" s="97">
        <v>635</v>
      </c>
      <c r="B637" s="101">
        <v>1865</v>
      </c>
      <c r="D637" s="97">
        <f t="shared" si="36"/>
        <v>635</v>
      </c>
      <c r="E637" s="97">
        <f t="shared" si="37"/>
        <v>641</v>
      </c>
      <c r="F637" s="97">
        <f t="shared" si="38"/>
        <v>13580</v>
      </c>
      <c r="G637" s="97">
        <f t="shared" si="39"/>
        <v>8580</v>
      </c>
    </row>
    <row r="638" spans="1:7" x14ac:dyDescent="0.2">
      <c r="A638" s="97">
        <v>636</v>
      </c>
      <c r="B638" s="101">
        <v>2243</v>
      </c>
      <c r="D638" s="97">
        <f t="shared" si="36"/>
        <v>636</v>
      </c>
      <c r="E638" s="97">
        <f t="shared" si="37"/>
        <v>642</v>
      </c>
      <c r="F638" s="97">
        <f t="shared" si="38"/>
        <v>13769</v>
      </c>
      <c r="G638" s="97">
        <f t="shared" si="39"/>
        <v>8769</v>
      </c>
    </row>
    <row r="639" spans="1:7" x14ac:dyDescent="0.2">
      <c r="A639" s="97">
        <v>637</v>
      </c>
      <c r="B639" s="101">
        <v>2266</v>
      </c>
      <c r="D639" s="97">
        <f t="shared" si="36"/>
        <v>637</v>
      </c>
      <c r="E639" s="97">
        <f t="shared" si="37"/>
        <v>643</v>
      </c>
      <c r="F639" s="97">
        <f t="shared" si="38"/>
        <v>13160</v>
      </c>
      <c r="G639" s="97">
        <f t="shared" si="39"/>
        <v>8160</v>
      </c>
    </row>
    <row r="640" spans="1:7" x14ac:dyDescent="0.2">
      <c r="A640" s="97">
        <v>638</v>
      </c>
      <c r="B640" s="101">
        <v>2043</v>
      </c>
      <c r="D640" s="97">
        <f t="shared" si="36"/>
        <v>638</v>
      </c>
      <c r="E640" s="97">
        <f t="shared" si="37"/>
        <v>644</v>
      </c>
      <c r="F640" s="97">
        <f t="shared" si="38"/>
        <v>14434</v>
      </c>
      <c r="G640" s="97">
        <f t="shared" si="39"/>
        <v>9434</v>
      </c>
    </row>
    <row r="641" spans="1:7" x14ac:dyDescent="0.2">
      <c r="A641" s="97">
        <v>639</v>
      </c>
      <c r="B641" s="101">
        <v>594</v>
      </c>
      <c r="D641" s="97">
        <f t="shared" si="36"/>
        <v>639</v>
      </c>
      <c r="E641" s="97">
        <f t="shared" si="37"/>
        <v>645</v>
      </c>
      <c r="F641" s="97">
        <f t="shared" si="38"/>
        <v>12969</v>
      </c>
      <c r="G641" s="97">
        <f t="shared" si="39"/>
        <v>7969</v>
      </c>
    </row>
    <row r="642" spans="1:7" x14ac:dyDescent="0.2">
      <c r="A642" s="97">
        <v>640</v>
      </c>
      <c r="B642" s="101">
        <v>2239</v>
      </c>
      <c r="D642" s="97">
        <f t="shared" si="36"/>
        <v>640</v>
      </c>
      <c r="E642" s="97">
        <f t="shared" si="37"/>
        <v>646</v>
      </c>
      <c r="F642" s="97">
        <f t="shared" si="38"/>
        <v>14038</v>
      </c>
      <c r="G642" s="97">
        <f t="shared" si="39"/>
        <v>9038</v>
      </c>
    </row>
    <row r="643" spans="1:7" x14ac:dyDescent="0.2">
      <c r="A643" s="97">
        <v>641</v>
      </c>
      <c r="B643" s="101">
        <v>2330</v>
      </c>
      <c r="D643" s="97">
        <f t="shared" si="36"/>
        <v>641</v>
      </c>
      <c r="E643" s="97">
        <f t="shared" si="37"/>
        <v>647</v>
      </c>
      <c r="F643" s="97">
        <f t="shared" si="38"/>
        <v>13437</v>
      </c>
      <c r="G643" s="97">
        <f t="shared" si="39"/>
        <v>8437</v>
      </c>
    </row>
    <row r="644" spans="1:7" x14ac:dyDescent="0.2">
      <c r="A644" s="97">
        <v>642</v>
      </c>
      <c r="B644" s="101">
        <v>2054</v>
      </c>
      <c r="D644" s="97">
        <f t="shared" ref="D644:D707" si="40">A644</f>
        <v>642</v>
      </c>
      <c r="E644" s="97">
        <f t="shared" ref="E644:E707" si="41">A650</f>
        <v>648</v>
      </c>
      <c r="F644" s="97">
        <f t="shared" ref="F644:F707" si="42">SUM(B644:B650)</f>
        <v>12357</v>
      </c>
      <c r="G644" s="97">
        <f t="shared" ref="G644:G707" si="43">MAX(F644-$J$5,0)</f>
        <v>7357</v>
      </c>
    </row>
    <row r="645" spans="1:7" x14ac:dyDescent="0.2">
      <c r="A645" s="97">
        <v>643</v>
      </c>
      <c r="B645" s="101">
        <v>1634</v>
      </c>
      <c r="D645" s="97">
        <f t="shared" si="40"/>
        <v>643</v>
      </c>
      <c r="E645" s="97">
        <f t="shared" si="41"/>
        <v>649</v>
      </c>
      <c r="F645" s="97">
        <f t="shared" si="42"/>
        <v>13167</v>
      </c>
      <c r="G645" s="97">
        <f t="shared" si="43"/>
        <v>8167</v>
      </c>
    </row>
    <row r="646" spans="1:7" x14ac:dyDescent="0.2">
      <c r="A646" s="97">
        <v>644</v>
      </c>
      <c r="B646" s="101">
        <v>3540</v>
      </c>
      <c r="D646" s="97">
        <f t="shared" si="40"/>
        <v>644</v>
      </c>
      <c r="E646" s="97">
        <f t="shared" si="41"/>
        <v>650</v>
      </c>
      <c r="F646" s="97">
        <f t="shared" si="42"/>
        <v>13434</v>
      </c>
      <c r="G646" s="97">
        <f t="shared" si="43"/>
        <v>8434</v>
      </c>
    </row>
    <row r="647" spans="1:7" x14ac:dyDescent="0.2">
      <c r="A647" s="97">
        <v>645</v>
      </c>
      <c r="B647" s="101">
        <v>578</v>
      </c>
      <c r="D647" s="97">
        <f t="shared" si="40"/>
        <v>645</v>
      </c>
      <c r="E647" s="97">
        <f t="shared" si="41"/>
        <v>651</v>
      </c>
      <c r="F647" s="97">
        <f t="shared" si="42"/>
        <v>12478</v>
      </c>
      <c r="G647" s="97">
        <f t="shared" si="43"/>
        <v>7478</v>
      </c>
    </row>
    <row r="648" spans="1:7" x14ac:dyDescent="0.2">
      <c r="A648" s="97">
        <v>646</v>
      </c>
      <c r="B648" s="101">
        <v>1663</v>
      </c>
      <c r="D648" s="97">
        <f t="shared" si="40"/>
        <v>646</v>
      </c>
      <c r="E648" s="97">
        <f t="shared" si="41"/>
        <v>652</v>
      </c>
      <c r="F648" s="97">
        <f t="shared" si="42"/>
        <v>13819</v>
      </c>
      <c r="G648" s="97">
        <f t="shared" si="43"/>
        <v>8819</v>
      </c>
    </row>
    <row r="649" spans="1:7" x14ac:dyDescent="0.2">
      <c r="A649" s="97">
        <v>647</v>
      </c>
      <c r="B649" s="101">
        <v>1638</v>
      </c>
      <c r="D649" s="97">
        <f t="shared" si="40"/>
        <v>647</v>
      </c>
      <c r="E649" s="97">
        <f t="shared" si="41"/>
        <v>653</v>
      </c>
      <c r="F649" s="97">
        <f t="shared" si="42"/>
        <v>16049</v>
      </c>
      <c r="G649" s="97">
        <f t="shared" si="43"/>
        <v>11049</v>
      </c>
    </row>
    <row r="650" spans="1:7" x14ac:dyDescent="0.2">
      <c r="A650" s="97">
        <v>648</v>
      </c>
      <c r="B650" s="101">
        <v>1250</v>
      </c>
      <c r="D650" s="97">
        <f t="shared" si="40"/>
        <v>648</v>
      </c>
      <c r="E650" s="97">
        <f t="shared" si="41"/>
        <v>654</v>
      </c>
      <c r="F650" s="97">
        <f t="shared" si="42"/>
        <v>16405</v>
      </c>
      <c r="G650" s="97">
        <f t="shared" si="43"/>
        <v>11405</v>
      </c>
    </row>
    <row r="651" spans="1:7" x14ac:dyDescent="0.2">
      <c r="A651" s="97">
        <v>649</v>
      </c>
      <c r="B651" s="101">
        <v>2864</v>
      </c>
      <c r="D651" s="97">
        <f t="shared" si="40"/>
        <v>649</v>
      </c>
      <c r="E651" s="97">
        <f t="shared" si="41"/>
        <v>655</v>
      </c>
      <c r="F651" s="97">
        <f t="shared" si="42"/>
        <v>18828</v>
      </c>
      <c r="G651" s="97">
        <f t="shared" si="43"/>
        <v>13828</v>
      </c>
    </row>
    <row r="652" spans="1:7" x14ac:dyDescent="0.2">
      <c r="A652" s="97">
        <v>650</v>
      </c>
      <c r="B652" s="101">
        <v>1901</v>
      </c>
      <c r="D652" s="97">
        <f t="shared" si="40"/>
        <v>650</v>
      </c>
      <c r="E652" s="97">
        <f t="shared" si="41"/>
        <v>656</v>
      </c>
      <c r="F652" s="97">
        <f t="shared" si="42"/>
        <v>16003</v>
      </c>
      <c r="G652" s="97">
        <f t="shared" si="43"/>
        <v>11003</v>
      </c>
    </row>
    <row r="653" spans="1:7" x14ac:dyDescent="0.2">
      <c r="A653" s="97">
        <v>651</v>
      </c>
      <c r="B653" s="101">
        <v>2584</v>
      </c>
      <c r="D653" s="97">
        <f t="shared" si="40"/>
        <v>651</v>
      </c>
      <c r="E653" s="97">
        <f t="shared" si="41"/>
        <v>657</v>
      </c>
      <c r="F653" s="97">
        <f t="shared" si="42"/>
        <v>15515</v>
      </c>
      <c r="G653" s="97">
        <f t="shared" si="43"/>
        <v>10515</v>
      </c>
    </row>
    <row r="654" spans="1:7" x14ac:dyDescent="0.2">
      <c r="A654" s="97">
        <v>652</v>
      </c>
      <c r="B654" s="101">
        <v>1919</v>
      </c>
      <c r="D654" s="97">
        <f t="shared" si="40"/>
        <v>652</v>
      </c>
      <c r="E654" s="97">
        <f t="shared" si="41"/>
        <v>658</v>
      </c>
      <c r="F654" s="97">
        <f t="shared" si="42"/>
        <v>13695</v>
      </c>
      <c r="G654" s="97">
        <f t="shared" si="43"/>
        <v>8695</v>
      </c>
    </row>
    <row r="655" spans="1:7" x14ac:dyDescent="0.2">
      <c r="A655" s="97">
        <v>653</v>
      </c>
      <c r="B655" s="101">
        <v>3893</v>
      </c>
      <c r="D655" s="97">
        <f t="shared" si="40"/>
        <v>653</v>
      </c>
      <c r="E655" s="97">
        <f t="shared" si="41"/>
        <v>659</v>
      </c>
      <c r="F655" s="97">
        <f t="shared" si="42"/>
        <v>14635</v>
      </c>
      <c r="G655" s="97">
        <f t="shared" si="43"/>
        <v>9635</v>
      </c>
    </row>
    <row r="656" spans="1:7" x14ac:dyDescent="0.2">
      <c r="A656" s="97">
        <v>654</v>
      </c>
      <c r="B656" s="101">
        <v>1994</v>
      </c>
      <c r="D656" s="97">
        <f t="shared" si="40"/>
        <v>654</v>
      </c>
      <c r="E656" s="97">
        <f t="shared" si="41"/>
        <v>660</v>
      </c>
      <c r="F656" s="97">
        <f t="shared" si="42"/>
        <v>12006</v>
      </c>
      <c r="G656" s="97">
        <f t="shared" si="43"/>
        <v>7006</v>
      </c>
    </row>
    <row r="657" spans="1:7" x14ac:dyDescent="0.2">
      <c r="A657" s="97">
        <v>655</v>
      </c>
      <c r="B657" s="101">
        <v>3673</v>
      </c>
      <c r="D657" s="97">
        <f t="shared" si="40"/>
        <v>655</v>
      </c>
      <c r="E657" s="97">
        <f t="shared" si="41"/>
        <v>661</v>
      </c>
      <c r="F657" s="97">
        <f t="shared" si="42"/>
        <v>11381</v>
      </c>
      <c r="G657" s="97">
        <f t="shared" si="43"/>
        <v>6381</v>
      </c>
    </row>
    <row r="658" spans="1:7" x14ac:dyDescent="0.2">
      <c r="A658" s="97">
        <v>656</v>
      </c>
      <c r="B658" s="101">
        <v>39</v>
      </c>
      <c r="D658" s="97">
        <f t="shared" si="40"/>
        <v>656</v>
      </c>
      <c r="E658" s="97">
        <f t="shared" si="41"/>
        <v>662</v>
      </c>
      <c r="F658" s="97">
        <f t="shared" si="42"/>
        <v>9791</v>
      </c>
      <c r="G658" s="97">
        <f t="shared" si="43"/>
        <v>4791</v>
      </c>
    </row>
    <row r="659" spans="1:7" x14ac:dyDescent="0.2">
      <c r="A659" s="97">
        <v>657</v>
      </c>
      <c r="B659" s="101">
        <v>1413</v>
      </c>
      <c r="D659" s="97">
        <f t="shared" si="40"/>
        <v>657</v>
      </c>
      <c r="E659" s="97">
        <f t="shared" si="41"/>
        <v>663</v>
      </c>
      <c r="F659" s="97">
        <f t="shared" si="42"/>
        <v>11678</v>
      </c>
      <c r="G659" s="97">
        <f t="shared" si="43"/>
        <v>6678</v>
      </c>
    </row>
    <row r="660" spans="1:7" x14ac:dyDescent="0.2">
      <c r="A660" s="97">
        <v>658</v>
      </c>
      <c r="B660" s="101">
        <v>764</v>
      </c>
      <c r="D660" s="97">
        <f t="shared" si="40"/>
        <v>658</v>
      </c>
      <c r="E660" s="97">
        <f t="shared" si="41"/>
        <v>664</v>
      </c>
      <c r="F660" s="97">
        <f t="shared" si="42"/>
        <v>10403</v>
      </c>
      <c r="G660" s="97">
        <f t="shared" si="43"/>
        <v>5403</v>
      </c>
    </row>
    <row r="661" spans="1:7" x14ac:dyDescent="0.2">
      <c r="A661" s="97">
        <v>659</v>
      </c>
      <c r="B661" s="101">
        <v>2859</v>
      </c>
      <c r="D661" s="97">
        <f t="shared" si="40"/>
        <v>659</v>
      </c>
      <c r="E661" s="97">
        <f t="shared" si="41"/>
        <v>665</v>
      </c>
      <c r="F661" s="97">
        <f t="shared" si="42"/>
        <v>11008</v>
      </c>
      <c r="G661" s="97">
        <f t="shared" si="43"/>
        <v>6008</v>
      </c>
    </row>
    <row r="662" spans="1:7" x14ac:dyDescent="0.2">
      <c r="A662" s="97">
        <v>660</v>
      </c>
      <c r="B662" s="101">
        <v>1264</v>
      </c>
      <c r="D662" s="97">
        <f t="shared" si="40"/>
        <v>660</v>
      </c>
      <c r="E662" s="97">
        <f t="shared" si="41"/>
        <v>666</v>
      </c>
      <c r="F662" s="97">
        <f t="shared" si="42"/>
        <v>9244</v>
      </c>
      <c r="G662" s="97">
        <f t="shared" si="43"/>
        <v>4244</v>
      </c>
    </row>
    <row r="663" spans="1:7" x14ac:dyDescent="0.2">
      <c r="A663" s="97">
        <v>661</v>
      </c>
      <c r="B663" s="101">
        <v>1369</v>
      </c>
      <c r="D663" s="97">
        <f t="shared" si="40"/>
        <v>661</v>
      </c>
      <c r="E663" s="97">
        <f t="shared" si="41"/>
        <v>667</v>
      </c>
      <c r="F663" s="97">
        <f t="shared" si="42"/>
        <v>9498</v>
      </c>
      <c r="G663" s="97">
        <f t="shared" si="43"/>
        <v>4498</v>
      </c>
    </row>
    <row r="664" spans="1:7" x14ac:dyDescent="0.2">
      <c r="A664" s="97">
        <v>662</v>
      </c>
      <c r="B664" s="101">
        <v>2083</v>
      </c>
      <c r="D664" s="97">
        <f t="shared" si="40"/>
        <v>662</v>
      </c>
      <c r="E664" s="97">
        <f t="shared" si="41"/>
        <v>668</v>
      </c>
      <c r="F664" s="97">
        <f t="shared" si="42"/>
        <v>9288</v>
      </c>
      <c r="G664" s="97">
        <f t="shared" si="43"/>
        <v>4288</v>
      </c>
    </row>
    <row r="665" spans="1:7" x14ac:dyDescent="0.2">
      <c r="A665" s="97">
        <v>663</v>
      </c>
      <c r="B665" s="101">
        <v>1926</v>
      </c>
      <c r="D665" s="97">
        <f t="shared" si="40"/>
        <v>663</v>
      </c>
      <c r="E665" s="97">
        <f t="shared" si="41"/>
        <v>669</v>
      </c>
      <c r="F665" s="97">
        <f t="shared" si="42"/>
        <v>7686</v>
      </c>
      <c r="G665" s="97">
        <f t="shared" si="43"/>
        <v>2686</v>
      </c>
    </row>
    <row r="666" spans="1:7" x14ac:dyDescent="0.2">
      <c r="A666" s="97">
        <v>664</v>
      </c>
      <c r="B666" s="101">
        <v>138</v>
      </c>
      <c r="D666" s="97">
        <f t="shared" si="40"/>
        <v>664</v>
      </c>
      <c r="E666" s="97">
        <f t="shared" si="41"/>
        <v>670</v>
      </c>
      <c r="F666" s="97">
        <f t="shared" si="42"/>
        <v>7503</v>
      </c>
      <c r="G666" s="97">
        <f t="shared" si="43"/>
        <v>2503</v>
      </c>
    </row>
    <row r="667" spans="1:7" x14ac:dyDescent="0.2">
      <c r="A667" s="97">
        <v>665</v>
      </c>
      <c r="B667" s="101">
        <v>1369</v>
      </c>
      <c r="D667" s="97">
        <f t="shared" si="40"/>
        <v>665</v>
      </c>
      <c r="E667" s="97">
        <f t="shared" si="41"/>
        <v>671</v>
      </c>
      <c r="F667" s="97">
        <f t="shared" si="42"/>
        <v>9114</v>
      </c>
      <c r="G667" s="97">
        <f t="shared" si="43"/>
        <v>4114</v>
      </c>
    </row>
    <row r="668" spans="1:7" x14ac:dyDescent="0.2">
      <c r="A668" s="97">
        <v>666</v>
      </c>
      <c r="B668" s="101">
        <v>1095</v>
      </c>
      <c r="D668" s="97">
        <f t="shared" si="40"/>
        <v>666</v>
      </c>
      <c r="E668" s="97">
        <f t="shared" si="41"/>
        <v>672</v>
      </c>
      <c r="F668" s="97">
        <f t="shared" si="42"/>
        <v>10210</v>
      </c>
      <c r="G668" s="97">
        <f t="shared" si="43"/>
        <v>5210</v>
      </c>
    </row>
    <row r="669" spans="1:7" x14ac:dyDescent="0.2">
      <c r="A669" s="97">
        <v>667</v>
      </c>
      <c r="B669" s="101">
        <v>1518</v>
      </c>
      <c r="D669" s="97">
        <f t="shared" si="40"/>
        <v>667</v>
      </c>
      <c r="E669" s="97">
        <f t="shared" si="41"/>
        <v>673</v>
      </c>
      <c r="F669" s="97">
        <f t="shared" si="42"/>
        <v>10551</v>
      </c>
      <c r="G669" s="97">
        <f t="shared" si="43"/>
        <v>5551</v>
      </c>
    </row>
    <row r="670" spans="1:7" x14ac:dyDescent="0.2">
      <c r="A670" s="97">
        <v>668</v>
      </c>
      <c r="B670" s="101">
        <v>1159</v>
      </c>
      <c r="D670" s="97">
        <f t="shared" si="40"/>
        <v>668</v>
      </c>
      <c r="E670" s="97">
        <f t="shared" si="41"/>
        <v>674</v>
      </c>
      <c r="F670" s="97">
        <f t="shared" si="42"/>
        <v>11646</v>
      </c>
      <c r="G670" s="97">
        <f t="shared" si="43"/>
        <v>6646</v>
      </c>
    </row>
    <row r="671" spans="1:7" x14ac:dyDescent="0.2">
      <c r="A671" s="97">
        <v>669</v>
      </c>
      <c r="B671" s="101">
        <v>481</v>
      </c>
      <c r="D671" s="97">
        <f t="shared" si="40"/>
        <v>669</v>
      </c>
      <c r="E671" s="97">
        <f t="shared" si="41"/>
        <v>675</v>
      </c>
      <c r="F671" s="97">
        <f t="shared" si="42"/>
        <v>12606</v>
      </c>
      <c r="G671" s="97">
        <f t="shared" si="43"/>
        <v>7606</v>
      </c>
    </row>
    <row r="672" spans="1:7" x14ac:dyDescent="0.2">
      <c r="A672" s="97">
        <v>670</v>
      </c>
      <c r="B672" s="101">
        <v>1743</v>
      </c>
      <c r="D672" s="97">
        <f t="shared" si="40"/>
        <v>670</v>
      </c>
      <c r="E672" s="97">
        <f t="shared" si="41"/>
        <v>676</v>
      </c>
      <c r="F672" s="97">
        <f t="shared" si="42"/>
        <v>15579</v>
      </c>
      <c r="G672" s="97">
        <f t="shared" si="43"/>
        <v>10579</v>
      </c>
    </row>
    <row r="673" spans="1:7" x14ac:dyDescent="0.2">
      <c r="A673" s="97">
        <v>671</v>
      </c>
      <c r="B673" s="101">
        <v>1749</v>
      </c>
      <c r="D673" s="97">
        <f t="shared" si="40"/>
        <v>671</v>
      </c>
      <c r="E673" s="97">
        <f t="shared" si="41"/>
        <v>677</v>
      </c>
      <c r="F673" s="97">
        <f t="shared" si="42"/>
        <v>17040</v>
      </c>
      <c r="G673" s="97">
        <f t="shared" si="43"/>
        <v>12040</v>
      </c>
    </row>
    <row r="674" spans="1:7" x14ac:dyDescent="0.2">
      <c r="A674" s="97">
        <v>672</v>
      </c>
      <c r="B674" s="101">
        <v>2465</v>
      </c>
      <c r="D674" s="97">
        <f t="shared" si="40"/>
        <v>672</v>
      </c>
      <c r="E674" s="97">
        <f t="shared" si="41"/>
        <v>678</v>
      </c>
      <c r="F674" s="97">
        <f t="shared" si="42"/>
        <v>16512</v>
      </c>
      <c r="G674" s="97">
        <f t="shared" si="43"/>
        <v>11512</v>
      </c>
    </row>
    <row r="675" spans="1:7" x14ac:dyDescent="0.2">
      <c r="A675" s="97">
        <v>673</v>
      </c>
      <c r="B675" s="101">
        <v>1436</v>
      </c>
      <c r="D675" s="97">
        <f t="shared" si="40"/>
        <v>673</v>
      </c>
      <c r="E675" s="97">
        <f t="shared" si="41"/>
        <v>679</v>
      </c>
      <c r="F675" s="97">
        <f t="shared" si="42"/>
        <v>17647</v>
      </c>
      <c r="G675" s="97">
        <f t="shared" si="43"/>
        <v>12647</v>
      </c>
    </row>
    <row r="676" spans="1:7" x14ac:dyDescent="0.2">
      <c r="A676" s="97">
        <v>674</v>
      </c>
      <c r="B676" s="101">
        <v>2613</v>
      </c>
      <c r="D676" s="97">
        <f t="shared" si="40"/>
        <v>674</v>
      </c>
      <c r="E676" s="97">
        <f t="shared" si="41"/>
        <v>680</v>
      </c>
      <c r="F676" s="97">
        <f t="shared" si="42"/>
        <v>17674</v>
      </c>
      <c r="G676" s="97">
        <f t="shared" si="43"/>
        <v>12674</v>
      </c>
    </row>
    <row r="677" spans="1:7" x14ac:dyDescent="0.2">
      <c r="A677" s="97">
        <v>675</v>
      </c>
      <c r="B677" s="101">
        <v>2119</v>
      </c>
      <c r="D677" s="97">
        <f t="shared" si="40"/>
        <v>675</v>
      </c>
      <c r="E677" s="97">
        <f t="shared" si="41"/>
        <v>681</v>
      </c>
      <c r="F677" s="97">
        <f t="shared" si="42"/>
        <v>17924</v>
      </c>
      <c r="G677" s="97">
        <f t="shared" si="43"/>
        <v>12924</v>
      </c>
    </row>
    <row r="678" spans="1:7" x14ac:dyDescent="0.2">
      <c r="A678" s="97">
        <v>676</v>
      </c>
      <c r="B678" s="101">
        <v>3454</v>
      </c>
      <c r="D678" s="97">
        <f t="shared" si="40"/>
        <v>676</v>
      </c>
      <c r="E678" s="97">
        <f t="shared" si="41"/>
        <v>682</v>
      </c>
      <c r="F678" s="97">
        <f t="shared" si="42"/>
        <v>18586</v>
      </c>
      <c r="G678" s="97">
        <f t="shared" si="43"/>
        <v>13586</v>
      </c>
    </row>
    <row r="679" spans="1:7" x14ac:dyDescent="0.2">
      <c r="A679" s="97">
        <v>677</v>
      </c>
      <c r="B679" s="101">
        <v>3204</v>
      </c>
      <c r="D679" s="97">
        <f t="shared" si="40"/>
        <v>677</v>
      </c>
      <c r="E679" s="97">
        <f t="shared" si="41"/>
        <v>683</v>
      </c>
      <c r="F679" s="97">
        <f t="shared" si="42"/>
        <v>17516</v>
      </c>
      <c r="G679" s="97">
        <f t="shared" si="43"/>
        <v>12516</v>
      </c>
    </row>
    <row r="680" spans="1:7" x14ac:dyDescent="0.2">
      <c r="A680" s="97">
        <v>678</v>
      </c>
      <c r="B680" s="101">
        <v>1221</v>
      </c>
      <c r="D680" s="97">
        <f t="shared" si="40"/>
        <v>678</v>
      </c>
      <c r="E680" s="97">
        <f t="shared" si="41"/>
        <v>684</v>
      </c>
      <c r="F680" s="97">
        <f t="shared" si="42"/>
        <v>16087</v>
      </c>
      <c r="G680" s="97">
        <f t="shared" si="43"/>
        <v>11087</v>
      </c>
    </row>
    <row r="681" spans="1:7" x14ac:dyDescent="0.2">
      <c r="A681" s="97">
        <v>679</v>
      </c>
      <c r="B681" s="101">
        <v>3600</v>
      </c>
      <c r="D681" s="97">
        <f t="shared" si="40"/>
        <v>679</v>
      </c>
      <c r="E681" s="97">
        <f t="shared" si="41"/>
        <v>685</v>
      </c>
      <c r="F681" s="97">
        <f t="shared" si="42"/>
        <v>18225</v>
      </c>
      <c r="G681" s="97">
        <f t="shared" si="43"/>
        <v>13225</v>
      </c>
    </row>
    <row r="682" spans="1:7" x14ac:dyDescent="0.2">
      <c r="A682" s="97">
        <v>680</v>
      </c>
      <c r="B682" s="101">
        <v>1463</v>
      </c>
      <c r="D682" s="97">
        <f t="shared" si="40"/>
        <v>680</v>
      </c>
      <c r="E682" s="97">
        <f t="shared" si="41"/>
        <v>686</v>
      </c>
      <c r="F682" s="97">
        <f t="shared" si="42"/>
        <v>16460</v>
      </c>
      <c r="G682" s="97">
        <f t="shared" si="43"/>
        <v>11460</v>
      </c>
    </row>
    <row r="683" spans="1:7" x14ac:dyDescent="0.2">
      <c r="A683" s="97">
        <v>681</v>
      </c>
      <c r="B683" s="101">
        <v>2863</v>
      </c>
      <c r="D683" s="97">
        <f t="shared" si="40"/>
        <v>681</v>
      </c>
      <c r="E683" s="97">
        <f t="shared" si="41"/>
        <v>687</v>
      </c>
      <c r="F683" s="97">
        <f t="shared" si="42"/>
        <v>16981</v>
      </c>
      <c r="G683" s="97">
        <f t="shared" si="43"/>
        <v>11981</v>
      </c>
    </row>
    <row r="684" spans="1:7" x14ac:dyDescent="0.2">
      <c r="A684" s="97">
        <v>682</v>
      </c>
      <c r="B684" s="101">
        <v>2781</v>
      </c>
      <c r="D684" s="97">
        <f t="shared" si="40"/>
        <v>682</v>
      </c>
      <c r="E684" s="97">
        <f t="shared" si="41"/>
        <v>688</v>
      </c>
      <c r="F684" s="97">
        <f t="shared" si="42"/>
        <v>15692</v>
      </c>
      <c r="G684" s="97">
        <f t="shared" si="43"/>
        <v>10692</v>
      </c>
    </row>
    <row r="685" spans="1:7" x14ac:dyDescent="0.2">
      <c r="A685" s="97">
        <v>683</v>
      </c>
      <c r="B685" s="101">
        <v>2384</v>
      </c>
      <c r="D685" s="97">
        <f t="shared" si="40"/>
        <v>683</v>
      </c>
      <c r="E685" s="97">
        <f t="shared" si="41"/>
        <v>689</v>
      </c>
      <c r="F685" s="97">
        <f t="shared" si="42"/>
        <v>15681</v>
      </c>
      <c r="G685" s="97">
        <f t="shared" si="43"/>
        <v>10681</v>
      </c>
    </row>
    <row r="686" spans="1:7" x14ac:dyDescent="0.2">
      <c r="A686" s="97">
        <v>684</v>
      </c>
      <c r="B686" s="101">
        <v>1775</v>
      </c>
      <c r="D686" s="97">
        <f t="shared" si="40"/>
        <v>684</v>
      </c>
      <c r="E686" s="97">
        <f t="shared" si="41"/>
        <v>690</v>
      </c>
      <c r="F686" s="97">
        <f t="shared" si="42"/>
        <v>17390</v>
      </c>
      <c r="G686" s="97">
        <f t="shared" si="43"/>
        <v>12390</v>
      </c>
    </row>
    <row r="687" spans="1:7" x14ac:dyDescent="0.2">
      <c r="A687" s="97">
        <v>685</v>
      </c>
      <c r="B687" s="101">
        <v>3359</v>
      </c>
      <c r="D687" s="97">
        <f t="shared" si="40"/>
        <v>685</v>
      </c>
      <c r="E687" s="97">
        <f t="shared" si="41"/>
        <v>691</v>
      </c>
      <c r="F687" s="97">
        <f t="shared" si="42"/>
        <v>16545</v>
      </c>
      <c r="G687" s="97">
        <f t="shared" si="43"/>
        <v>11545</v>
      </c>
    </row>
    <row r="688" spans="1:7" x14ac:dyDescent="0.2">
      <c r="A688" s="97">
        <v>686</v>
      </c>
      <c r="B688" s="101">
        <v>1835</v>
      </c>
      <c r="D688" s="97">
        <f t="shared" si="40"/>
        <v>686</v>
      </c>
      <c r="E688" s="97">
        <f t="shared" si="41"/>
        <v>692</v>
      </c>
      <c r="F688" s="97">
        <f t="shared" si="42"/>
        <v>16310</v>
      </c>
      <c r="G688" s="97">
        <f t="shared" si="43"/>
        <v>11310</v>
      </c>
    </row>
    <row r="689" spans="1:7" x14ac:dyDescent="0.2">
      <c r="A689" s="97">
        <v>687</v>
      </c>
      <c r="B689" s="101">
        <v>1984</v>
      </c>
      <c r="D689" s="97">
        <f t="shared" si="40"/>
        <v>687</v>
      </c>
      <c r="E689" s="97">
        <f t="shared" si="41"/>
        <v>693</v>
      </c>
      <c r="F689" s="97">
        <f t="shared" si="42"/>
        <v>16621</v>
      </c>
      <c r="G689" s="97">
        <f t="shared" si="43"/>
        <v>11621</v>
      </c>
    </row>
    <row r="690" spans="1:7" x14ac:dyDescent="0.2">
      <c r="A690" s="97">
        <v>688</v>
      </c>
      <c r="B690" s="101">
        <v>1574</v>
      </c>
      <c r="D690" s="97">
        <f t="shared" si="40"/>
        <v>688</v>
      </c>
      <c r="E690" s="97">
        <f t="shared" si="41"/>
        <v>694</v>
      </c>
      <c r="F690" s="97">
        <f t="shared" si="42"/>
        <v>16653</v>
      </c>
      <c r="G690" s="97">
        <f t="shared" si="43"/>
        <v>11653</v>
      </c>
    </row>
    <row r="691" spans="1:7" x14ac:dyDescent="0.2">
      <c r="A691" s="97">
        <v>689</v>
      </c>
      <c r="B691" s="101">
        <v>2770</v>
      </c>
      <c r="D691" s="97">
        <f t="shared" si="40"/>
        <v>689</v>
      </c>
      <c r="E691" s="97">
        <f t="shared" si="41"/>
        <v>695</v>
      </c>
      <c r="F691" s="97">
        <f t="shared" si="42"/>
        <v>18870</v>
      </c>
      <c r="G691" s="97">
        <f t="shared" si="43"/>
        <v>13870</v>
      </c>
    </row>
    <row r="692" spans="1:7" x14ac:dyDescent="0.2">
      <c r="A692" s="97">
        <v>690</v>
      </c>
      <c r="B692" s="101">
        <v>4093</v>
      </c>
      <c r="D692" s="97">
        <f t="shared" si="40"/>
        <v>690</v>
      </c>
      <c r="E692" s="97">
        <f t="shared" si="41"/>
        <v>696</v>
      </c>
      <c r="F692" s="97">
        <f t="shared" si="42"/>
        <v>18603</v>
      </c>
      <c r="G692" s="97">
        <f t="shared" si="43"/>
        <v>13603</v>
      </c>
    </row>
    <row r="693" spans="1:7" x14ac:dyDescent="0.2">
      <c r="A693" s="97">
        <v>691</v>
      </c>
      <c r="B693" s="101">
        <v>930</v>
      </c>
      <c r="D693" s="97">
        <f t="shared" si="40"/>
        <v>691</v>
      </c>
      <c r="E693" s="97">
        <f t="shared" si="41"/>
        <v>697</v>
      </c>
      <c r="F693" s="97">
        <f t="shared" si="42"/>
        <v>16759</v>
      </c>
      <c r="G693" s="97">
        <f t="shared" si="43"/>
        <v>11759</v>
      </c>
    </row>
    <row r="694" spans="1:7" x14ac:dyDescent="0.2">
      <c r="A694" s="97">
        <v>692</v>
      </c>
      <c r="B694" s="101">
        <v>3124</v>
      </c>
      <c r="D694" s="97">
        <f t="shared" si="40"/>
        <v>692</v>
      </c>
      <c r="E694" s="97">
        <f t="shared" si="41"/>
        <v>698</v>
      </c>
      <c r="F694" s="97">
        <f t="shared" si="42"/>
        <v>16464</v>
      </c>
      <c r="G694" s="97">
        <f t="shared" si="43"/>
        <v>11464</v>
      </c>
    </row>
    <row r="695" spans="1:7" x14ac:dyDescent="0.2">
      <c r="A695" s="97">
        <v>693</v>
      </c>
      <c r="B695" s="101">
        <v>2146</v>
      </c>
      <c r="D695" s="97">
        <f t="shared" si="40"/>
        <v>693</v>
      </c>
      <c r="E695" s="97">
        <f t="shared" si="41"/>
        <v>699</v>
      </c>
      <c r="F695" s="97">
        <f t="shared" si="42"/>
        <v>13340</v>
      </c>
      <c r="G695" s="97">
        <f t="shared" si="43"/>
        <v>8340</v>
      </c>
    </row>
    <row r="696" spans="1:7" x14ac:dyDescent="0.2">
      <c r="A696" s="97">
        <v>694</v>
      </c>
      <c r="B696" s="101">
        <v>2016</v>
      </c>
      <c r="D696" s="97">
        <f t="shared" si="40"/>
        <v>694</v>
      </c>
      <c r="E696" s="97">
        <f t="shared" si="41"/>
        <v>700</v>
      </c>
      <c r="F696" s="97">
        <f t="shared" si="42"/>
        <v>13968</v>
      </c>
      <c r="G696" s="97">
        <f t="shared" si="43"/>
        <v>8968</v>
      </c>
    </row>
    <row r="697" spans="1:7" x14ac:dyDescent="0.2">
      <c r="A697" s="97">
        <v>695</v>
      </c>
      <c r="B697" s="101">
        <v>3791</v>
      </c>
      <c r="D697" s="97">
        <f t="shared" si="40"/>
        <v>695</v>
      </c>
      <c r="E697" s="97">
        <f t="shared" si="41"/>
        <v>701</v>
      </c>
      <c r="F697" s="97">
        <f t="shared" si="42"/>
        <v>13592</v>
      </c>
      <c r="G697" s="97">
        <f t="shared" si="43"/>
        <v>8592</v>
      </c>
    </row>
    <row r="698" spans="1:7" x14ac:dyDescent="0.2">
      <c r="A698" s="97">
        <v>696</v>
      </c>
      <c r="B698" s="101">
        <v>2503</v>
      </c>
      <c r="D698" s="97">
        <f t="shared" si="40"/>
        <v>696</v>
      </c>
      <c r="E698" s="97">
        <f t="shared" si="41"/>
        <v>702</v>
      </c>
      <c r="F698" s="97">
        <f t="shared" si="42"/>
        <v>12117</v>
      </c>
      <c r="G698" s="97">
        <f t="shared" si="43"/>
        <v>7117</v>
      </c>
    </row>
    <row r="699" spans="1:7" x14ac:dyDescent="0.2">
      <c r="A699" s="97">
        <v>697</v>
      </c>
      <c r="B699" s="101">
        <v>2249</v>
      </c>
      <c r="D699" s="97">
        <f t="shared" si="40"/>
        <v>697</v>
      </c>
      <c r="E699" s="97">
        <f t="shared" si="41"/>
        <v>703</v>
      </c>
      <c r="F699" s="97">
        <f t="shared" si="42"/>
        <v>11084</v>
      </c>
      <c r="G699" s="97">
        <f t="shared" si="43"/>
        <v>6084</v>
      </c>
    </row>
    <row r="700" spans="1:7" x14ac:dyDescent="0.2">
      <c r="A700" s="97">
        <v>698</v>
      </c>
      <c r="B700" s="101">
        <v>635</v>
      </c>
      <c r="D700" s="97">
        <f t="shared" si="40"/>
        <v>698</v>
      </c>
      <c r="E700" s="97">
        <f t="shared" si="41"/>
        <v>704</v>
      </c>
      <c r="F700" s="97">
        <f t="shared" si="42"/>
        <v>10951</v>
      </c>
      <c r="G700" s="97">
        <f t="shared" si="43"/>
        <v>5951</v>
      </c>
    </row>
    <row r="701" spans="1:7" x14ac:dyDescent="0.2">
      <c r="A701" s="97">
        <v>699</v>
      </c>
      <c r="B701" s="101">
        <v>0</v>
      </c>
      <c r="D701" s="97">
        <f t="shared" si="40"/>
        <v>699</v>
      </c>
      <c r="E701" s="97">
        <f t="shared" si="41"/>
        <v>705</v>
      </c>
      <c r="F701" s="97">
        <f t="shared" si="42"/>
        <v>11759</v>
      </c>
      <c r="G701" s="97">
        <f t="shared" si="43"/>
        <v>6759</v>
      </c>
    </row>
    <row r="702" spans="1:7" x14ac:dyDescent="0.2">
      <c r="A702" s="97">
        <v>700</v>
      </c>
      <c r="B702" s="101">
        <v>2774</v>
      </c>
      <c r="D702" s="97">
        <f t="shared" si="40"/>
        <v>700</v>
      </c>
      <c r="E702" s="97">
        <f t="shared" si="41"/>
        <v>706</v>
      </c>
      <c r="F702" s="97">
        <f t="shared" si="42"/>
        <v>14338</v>
      </c>
      <c r="G702" s="97">
        <f t="shared" si="43"/>
        <v>9338</v>
      </c>
    </row>
    <row r="703" spans="1:7" x14ac:dyDescent="0.2">
      <c r="A703" s="97">
        <v>701</v>
      </c>
      <c r="B703" s="101">
        <v>1640</v>
      </c>
      <c r="D703" s="97">
        <f t="shared" si="40"/>
        <v>701</v>
      </c>
      <c r="E703" s="97">
        <f t="shared" si="41"/>
        <v>707</v>
      </c>
      <c r="F703" s="97">
        <f t="shared" si="42"/>
        <v>13075</v>
      </c>
      <c r="G703" s="97">
        <f t="shared" si="43"/>
        <v>8075</v>
      </c>
    </row>
    <row r="704" spans="1:7" x14ac:dyDescent="0.2">
      <c r="A704" s="97">
        <v>702</v>
      </c>
      <c r="B704" s="101">
        <v>2316</v>
      </c>
      <c r="D704" s="97">
        <f t="shared" si="40"/>
        <v>702</v>
      </c>
      <c r="E704" s="97">
        <f t="shared" si="41"/>
        <v>708</v>
      </c>
      <c r="F704" s="97">
        <f t="shared" si="42"/>
        <v>13370</v>
      </c>
      <c r="G704" s="97">
        <f t="shared" si="43"/>
        <v>8370</v>
      </c>
    </row>
    <row r="705" spans="1:7" x14ac:dyDescent="0.2">
      <c r="A705" s="97">
        <v>703</v>
      </c>
      <c r="B705" s="101">
        <v>1470</v>
      </c>
      <c r="D705" s="97">
        <f t="shared" si="40"/>
        <v>703</v>
      </c>
      <c r="E705" s="97">
        <f t="shared" si="41"/>
        <v>709</v>
      </c>
      <c r="F705" s="97">
        <f t="shared" si="42"/>
        <v>12342</v>
      </c>
      <c r="G705" s="97">
        <f t="shared" si="43"/>
        <v>7342</v>
      </c>
    </row>
    <row r="706" spans="1:7" x14ac:dyDescent="0.2">
      <c r="A706" s="97">
        <v>704</v>
      </c>
      <c r="B706" s="101">
        <v>2116</v>
      </c>
      <c r="D706" s="97">
        <f t="shared" si="40"/>
        <v>704</v>
      </c>
      <c r="E706" s="97">
        <f t="shared" si="41"/>
        <v>710</v>
      </c>
      <c r="F706" s="97">
        <f t="shared" si="42"/>
        <v>13483</v>
      </c>
      <c r="G706" s="97">
        <f t="shared" si="43"/>
        <v>8483</v>
      </c>
    </row>
    <row r="707" spans="1:7" x14ac:dyDescent="0.2">
      <c r="A707" s="97">
        <v>705</v>
      </c>
      <c r="B707" s="101">
        <v>1443</v>
      </c>
      <c r="D707" s="97">
        <f t="shared" si="40"/>
        <v>705</v>
      </c>
      <c r="E707" s="97">
        <f t="shared" si="41"/>
        <v>711</v>
      </c>
      <c r="F707" s="97">
        <f t="shared" si="42"/>
        <v>12537</v>
      </c>
      <c r="G707" s="97">
        <f t="shared" si="43"/>
        <v>7537</v>
      </c>
    </row>
    <row r="708" spans="1:7" x14ac:dyDescent="0.2">
      <c r="A708" s="97">
        <v>706</v>
      </c>
      <c r="B708" s="101">
        <v>2579</v>
      </c>
      <c r="D708" s="97">
        <f t="shared" ref="D708:D726" si="44">A708</f>
        <v>706</v>
      </c>
      <c r="E708" s="97">
        <f t="shared" ref="E708:E726" si="45">A714</f>
        <v>712</v>
      </c>
      <c r="F708" s="97">
        <f t="shared" ref="F708:F726" si="46">SUM(B708:B714)</f>
        <v>13562</v>
      </c>
      <c r="G708" s="97">
        <f t="shared" ref="G708:G726" si="47">MAX(F708-$J$5,0)</f>
        <v>8562</v>
      </c>
    </row>
    <row r="709" spans="1:7" x14ac:dyDescent="0.2">
      <c r="A709" s="97">
        <v>707</v>
      </c>
      <c r="B709" s="101">
        <v>1511</v>
      </c>
      <c r="D709" s="97">
        <f t="shared" si="44"/>
        <v>707</v>
      </c>
      <c r="E709" s="97">
        <f t="shared" si="45"/>
        <v>713</v>
      </c>
      <c r="F709" s="97">
        <f t="shared" si="46"/>
        <v>12806</v>
      </c>
      <c r="G709" s="97">
        <f t="shared" si="47"/>
        <v>7806</v>
      </c>
    </row>
    <row r="710" spans="1:7" x14ac:dyDescent="0.2">
      <c r="A710" s="97">
        <v>708</v>
      </c>
      <c r="B710" s="101">
        <v>1935</v>
      </c>
      <c r="D710" s="97">
        <f t="shared" si="44"/>
        <v>708</v>
      </c>
      <c r="E710" s="97">
        <f t="shared" si="45"/>
        <v>714</v>
      </c>
      <c r="F710" s="97">
        <f t="shared" si="46"/>
        <v>12624</v>
      </c>
      <c r="G710" s="97">
        <f t="shared" si="47"/>
        <v>7624</v>
      </c>
    </row>
    <row r="711" spans="1:7" x14ac:dyDescent="0.2">
      <c r="A711" s="97">
        <v>709</v>
      </c>
      <c r="B711" s="101">
        <v>1288</v>
      </c>
      <c r="D711" s="97">
        <f t="shared" si="44"/>
        <v>709</v>
      </c>
      <c r="E711" s="97">
        <f t="shared" si="45"/>
        <v>715</v>
      </c>
      <c r="F711" s="97">
        <f t="shared" si="46"/>
        <v>12840</v>
      </c>
      <c r="G711" s="97">
        <f t="shared" si="47"/>
        <v>7840</v>
      </c>
    </row>
    <row r="712" spans="1:7" x14ac:dyDescent="0.2">
      <c r="A712" s="97">
        <v>710</v>
      </c>
      <c r="B712" s="101">
        <v>2611</v>
      </c>
      <c r="D712" s="97">
        <f t="shared" si="44"/>
        <v>710</v>
      </c>
      <c r="E712" s="97">
        <f t="shared" si="45"/>
        <v>716</v>
      </c>
      <c r="F712" s="97">
        <f t="shared" si="46"/>
        <v>13313</v>
      </c>
      <c r="G712" s="97">
        <f t="shared" si="47"/>
        <v>8313</v>
      </c>
    </row>
    <row r="713" spans="1:7" x14ac:dyDescent="0.2">
      <c r="A713" s="97">
        <v>711</v>
      </c>
      <c r="B713" s="101">
        <v>1170</v>
      </c>
      <c r="D713" s="97">
        <f t="shared" si="44"/>
        <v>711</v>
      </c>
      <c r="E713" s="97">
        <f t="shared" si="45"/>
        <v>717</v>
      </c>
      <c r="F713" s="97">
        <f t="shared" si="46"/>
        <v>13247</v>
      </c>
      <c r="G713" s="97">
        <f t="shared" si="47"/>
        <v>8247</v>
      </c>
    </row>
    <row r="714" spans="1:7" x14ac:dyDescent="0.2">
      <c r="A714" s="97">
        <v>712</v>
      </c>
      <c r="B714" s="101">
        <v>2468</v>
      </c>
      <c r="D714" s="97">
        <f t="shared" si="44"/>
        <v>712</v>
      </c>
      <c r="E714" s="97">
        <f t="shared" si="45"/>
        <v>718</v>
      </c>
      <c r="F714" s="97">
        <f t="shared" si="46"/>
        <v>13960</v>
      </c>
      <c r="G714" s="97">
        <f t="shared" si="47"/>
        <v>8960</v>
      </c>
    </row>
    <row r="715" spans="1:7" x14ac:dyDescent="0.2">
      <c r="A715" s="97">
        <v>713</v>
      </c>
      <c r="B715" s="101">
        <v>1823</v>
      </c>
      <c r="D715" s="97">
        <f t="shared" si="44"/>
        <v>713</v>
      </c>
      <c r="E715" s="97">
        <f t="shared" si="45"/>
        <v>719</v>
      </c>
      <c r="F715" s="97">
        <f t="shared" si="46"/>
        <v>12656</v>
      </c>
      <c r="G715" s="97">
        <f t="shared" si="47"/>
        <v>7656</v>
      </c>
    </row>
    <row r="716" spans="1:7" x14ac:dyDescent="0.2">
      <c r="A716" s="97">
        <v>714</v>
      </c>
      <c r="B716" s="101">
        <v>1329</v>
      </c>
      <c r="D716" s="97">
        <f t="shared" si="44"/>
        <v>714</v>
      </c>
      <c r="E716" s="97">
        <f t="shared" si="45"/>
        <v>720</v>
      </c>
      <c r="F716" s="97">
        <f t="shared" si="46"/>
        <v>12994</v>
      </c>
      <c r="G716" s="97">
        <f t="shared" si="47"/>
        <v>7994</v>
      </c>
    </row>
    <row r="717" spans="1:7" x14ac:dyDescent="0.2">
      <c r="A717" s="97">
        <v>715</v>
      </c>
      <c r="B717" s="101">
        <v>2151</v>
      </c>
      <c r="D717" s="97">
        <f t="shared" si="44"/>
        <v>715</v>
      </c>
      <c r="E717" s="97">
        <f t="shared" si="45"/>
        <v>721</v>
      </c>
      <c r="F717" s="97">
        <f t="shared" si="46"/>
        <v>12650</v>
      </c>
      <c r="G717" s="97">
        <f t="shared" si="47"/>
        <v>7650</v>
      </c>
    </row>
    <row r="718" spans="1:7" x14ac:dyDescent="0.2">
      <c r="A718" s="97">
        <v>716</v>
      </c>
      <c r="B718" s="101">
        <v>1761</v>
      </c>
      <c r="D718" s="97">
        <f t="shared" si="44"/>
        <v>716</v>
      </c>
      <c r="E718" s="97">
        <f t="shared" si="45"/>
        <v>722</v>
      </c>
      <c r="F718" s="97">
        <f t="shared" si="46"/>
        <v>13182</v>
      </c>
      <c r="G718" s="97">
        <f t="shared" si="47"/>
        <v>8182</v>
      </c>
    </row>
    <row r="719" spans="1:7" x14ac:dyDescent="0.2">
      <c r="A719" s="97">
        <v>717</v>
      </c>
      <c r="B719" s="101">
        <v>2545</v>
      </c>
      <c r="D719" s="97">
        <f t="shared" si="44"/>
        <v>717</v>
      </c>
      <c r="E719" s="97">
        <f t="shared" si="45"/>
        <v>723</v>
      </c>
      <c r="F719" s="97">
        <f t="shared" si="46"/>
        <v>12670</v>
      </c>
      <c r="G719" s="97">
        <f t="shared" si="47"/>
        <v>7670</v>
      </c>
    </row>
    <row r="720" spans="1:7" x14ac:dyDescent="0.2">
      <c r="A720" s="97">
        <v>718</v>
      </c>
      <c r="B720" s="101">
        <v>1883</v>
      </c>
      <c r="D720" s="97">
        <f t="shared" si="44"/>
        <v>718</v>
      </c>
      <c r="E720" s="97">
        <f t="shared" si="45"/>
        <v>724</v>
      </c>
      <c r="F720" s="97">
        <f t="shared" si="46"/>
        <v>11813</v>
      </c>
      <c r="G720" s="97">
        <f t="shared" si="47"/>
        <v>6813</v>
      </c>
    </row>
    <row r="721" spans="1:7" x14ac:dyDescent="0.2">
      <c r="A721" s="97">
        <v>719</v>
      </c>
      <c r="B721" s="101">
        <v>1164</v>
      </c>
      <c r="D721" s="97">
        <f t="shared" si="44"/>
        <v>719</v>
      </c>
      <c r="E721" s="97">
        <f t="shared" si="45"/>
        <v>725</v>
      </c>
      <c r="F721" s="97">
        <f t="shared" si="46"/>
        <v>11744</v>
      </c>
      <c r="G721" s="97">
        <f t="shared" si="47"/>
        <v>6744</v>
      </c>
    </row>
    <row r="722" spans="1:7" x14ac:dyDescent="0.2">
      <c r="A722" s="97">
        <v>720</v>
      </c>
      <c r="B722" s="101">
        <v>2161</v>
      </c>
      <c r="D722" s="97">
        <f t="shared" si="44"/>
        <v>720</v>
      </c>
      <c r="E722" s="97">
        <f t="shared" si="45"/>
        <v>726</v>
      </c>
      <c r="F722" s="97">
        <f t="shared" si="46"/>
        <v>12575</v>
      </c>
      <c r="G722" s="97">
        <f t="shared" si="47"/>
        <v>7575</v>
      </c>
    </row>
    <row r="723" spans="1:7" x14ac:dyDescent="0.2">
      <c r="A723" s="97">
        <v>721</v>
      </c>
      <c r="B723" s="101">
        <v>985</v>
      </c>
      <c r="D723" s="97">
        <f t="shared" si="44"/>
        <v>721</v>
      </c>
      <c r="E723" s="97">
        <f t="shared" si="45"/>
        <v>727</v>
      </c>
      <c r="F723" s="97">
        <f t="shared" si="46"/>
        <v>11992</v>
      </c>
      <c r="G723" s="97">
        <f t="shared" si="47"/>
        <v>6992</v>
      </c>
    </row>
    <row r="724" spans="1:7" x14ac:dyDescent="0.2">
      <c r="A724" s="97">
        <v>722</v>
      </c>
      <c r="B724" s="101">
        <v>2683</v>
      </c>
      <c r="D724" s="97">
        <f t="shared" si="44"/>
        <v>722</v>
      </c>
      <c r="E724" s="97">
        <f t="shared" si="45"/>
        <v>728</v>
      </c>
      <c r="F724" s="97">
        <f t="shared" si="46"/>
        <v>12461</v>
      </c>
      <c r="G724" s="97">
        <f t="shared" si="47"/>
        <v>7461</v>
      </c>
    </row>
    <row r="725" spans="1:7" x14ac:dyDescent="0.2">
      <c r="A725" s="97">
        <v>723</v>
      </c>
      <c r="B725" s="101">
        <v>1249</v>
      </c>
      <c r="D725" s="97">
        <f t="shared" si="44"/>
        <v>723</v>
      </c>
      <c r="E725" s="97">
        <f t="shared" si="45"/>
        <v>729</v>
      </c>
      <c r="F725" s="97">
        <f t="shared" si="46"/>
        <v>11334</v>
      </c>
      <c r="G725" s="97">
        <f t="shared" si="47"/>
        <v>6334</v>
      </c>
    </row>
    <row r="726" spans="1:7" x14ac:dyDescent="0.2">
      <c r="A726" s="97">
        <v>724</v>
      </c>
      <c r="B726" s="101">
        <v>1688</v>
      </c>
      <c r="D726" s="97">
        <f t="shared" si="44"/>
        <v>724</v>
      </c>
      <c r="E726" s="97">
        <f t="shared" si="45"/>
        <v>730</v>
      </c>
      <c r="F726" s="97">
        <f t="shared" si="46"/>
        <v>10906</v>
      </c>
      <c r="G726" s="97">
        <f t="shared" si="47"/>
        <v>5906</v>
      </c>
    </row>
    <row r="727" spans="1:7" x14ac:dyDescent="0.2">
      <c r="A727" s="97">
        <v>725</v>
      </c>
      <c r="B727" s="101">
        <v>1814</v>
      </c>
    </row>
    <row r="728" spans="1:7" x14ac:dyDescent="0.2">
      <c r="A728" s="97">
        <v>726</v>
      </c>
      <c r="B728" s="101">
        <v>1995</v>
      </c>
    </row>
    <row r="729" spans="1:7" x14ac:dyDescent="0.2">
      <c r="A729" s="97">
        <v>727</v>
      </c>
      <c r="B729" s="101">
        <v>1578</v>
      </c>
    </row>
    <row r="730" spans="1:7" x14ac:dyDescent="0.2">
      <c r="A730" s="97">
        <v>728</v>
      </c>
      <c r="B730" s="101">
        <v>1454</v>
      </c>
    </row>
    <row r="731" spans="1:7" x14ac:dyDescent="0.2">
      <c r="A731" s="97">
        <v>729</v>
      </c>
      <c r="B731" s="101">
        <v>1556</v>
      </c>
    </row>
    <row r="732" spans="1:7" x14ac:dyDescent="0.2">
      <c r="A732" s="97">
        <v>730</v>
      </c>
      <c r="B732" s="101">
        <v>821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1"/>
  <sheetViews>
    <sheetView showFormulas="1" zoomScale="130" zoomScaleNormal="130" workbookViewId="0">
      <selection activeCell="G15" sqref="G15"/>
    </sheetView>
  </sheetViews>
  <sheetFormatPr defaultColWidth="9.140625" defaultRowHeight="12.75" x14ac:dyDescent="0.2"/>
  <cols>
    <col min="1" max="2" width="9.140625" style="97"/>
    <col min="3" max="3" width="5.7109375" style="97" bestFit="1" customWidth="1"/>
    <col min="4" max="4" width="6" style="97" bestFit="1" customWidth="1"/>
    <col min="5" max="5" width="9" style="97" customWidth="1"/>
    <col min="6" max="7" width="7.42578125" style="97" customWidth="1"/>
    <col min="8" max="8" width="9.7109375" style="97" customWidth="1"/>
    <col min="9" max="10" width="7.42578125" style="97" customWidth="1"/>
    <col min="11" max="16384" width="9.140625" style="97"/>
  </cols>
  <sheetData>
    <row r="1" spans="1:17" x14ac:dyDescent="0.2">
      <c r="C1" s="164" t="s">
        <v>214</v>
      </c>
      <c r="D1" s="164"/>
      <c r="E1" s="164"/>
      <c r="F1" s="164"/>
      <c r="G1" s="164"/>
      <c r="H1" s="164"/>
      <c r="I1" s="164"/>
      <c r="J1" s="164"/>
    </row>
    <row r="2" spans="1:17" x14ac:dyDescent="0.2">
      <c r="H2" s="112" t="s">
        <v>215</v>
      </c>
      <c r="I2" s="113">
        <v>30</v>
      </c>
      <c r="J2" s="97" t="s">
        <v>216</v>
      </c>
    </row>
    <row r="3" spans="1:17" x14ac:dyDescent="0.2">
      <c r="H3" s="102" t="s">
        <v>217</v>
      </c>
      <c r="I3" s="114">
        <v>0.02</v>
      </c>
      <c r="J3" s="97" t="s">
        <v>218</v>
      </c>
    </row>
    <row r="4" spans="1:17" x14ac:dyDescent="0.2">
      <c r="H4" s="102" t="s">
        <v>219</v>
      </c>
      <c r="I4" s="114">
        <v>0.01</v>
      </c>
      <c r="J4" s="97" t="s">
        <v>218</v>
      </c>
    </row>
    <row r="5" spans="1:17" x14ac:dyDescent="0.2">
      <c r="H5" s="102" t="s">
        <v>220</v>
      </c>
      <c r="I5" s="104">
        <f>1/I3</f>
        <v>50</v>
      </c>
      <c r="J5" s="97" t="s">
        <v>216</v>
      </c>
    </row>
    <row r="6" spans="1:17" ht="63.75" customHeight="1" x14ac:dyDescent="0.2">
      <c r="A6" s="115" t="s">
        <v>221</v>
      </c>
      <c r="B6" s="115" t="s">
        <v>222</v>
      </c>
      <c r="C6" s="115" t="s">
        <v>223</v>
      </c>
      <c r="D6" s="115" t="s">
        <v>224</v>
      </c>
      <c r="E6" s="115" t="s">
        <v>225</v>
      </c>
      <c r="F6" s="115" t="s">
        <v>226</v>
      </c>
      <c r="G6" s="115" t="s">
        <v>227</v>
      </c>
      <c r="H6" s="115" t="s">
        <v>228</v>
      </c>
      <c r="I6" s="115" t="s">
        <v>229</v>
      </c>
      <c r="J6" s="115" t="s">
        <v>230</v>
      </c>
    </row>
    <row r="7" spans="1:17" x14ac:dyDescent="0.2">
      <c r="A7" s="116"/>
      <c r="B7" s="116">
        <v>0.49991733007663297</v>
      </c>
      <c r="C7" s="97">
        <v>1</v>
      </c>
      <c r="D7" s="117">
        <v>0</v>
      </c>
      <c r="E7" s="117"/>
      <c r="F7" s="117">
        <f>MAX(_xlfn.NORM.INV(B7,$I$5,$I$4),0)</f>
        <v>49.999997927772313</v>
      </c>
      <c r="G7" s="117">
        <f>D7</f>
        <v>0</v>
      </c>
      <c r="H7" s="117">
        <f>G7+F7</f>
        <v>49.999997927772313</v>
      </c>
      <c r="I7" s="117">
        <f>H7-G7</f>
        <v>49.999997927772313</v>
      </c>
      <c r="J7" s="117">
        <f>G7-D7</f>
        <v>0</v>
      </c>
      <c r="K7" s="104"/>
      <c r="L7" s="104"/>
      <c r="M7" s="104"/>
      <c r="N7" s="104"/>
      <c r="O7" s="104"/>
      <c r="P7" s="104"/>
      <c r="Q7" s="104"/>
    </row>
    <row r="8" spans="1:17" x14ac:dyDescent="0.2">
      <c r="A8" s="116">
        <v>0.22357760412817429</v>
      </c>
      <c r="B8" s="116">
        <v>0.32681306968611579</v>
      </c>
      <c r="C8" s="97">
        <v>2</v>
      </c>
      <c r="D8" s="117">
        <f>D7+E8</f>
        <v>4.9933223438204742E-2</v>
      </c>
      <c r="E8" s="117">
        <f>-(1/$I$2)*LN(A8)</f>
        <v>4.9933223438204742E-2</v>
      </c>
      <c r="F8" s="117">
        <f t="shared" ref="F8:F21" si="0">MAX(_xlfn.NORM.INV(B8,$I$5,$I$4),0)</f>
        <v>49.99551269582566</v>
      </c>
      <c r="G8" s="117">
        <f>MAX(D8,H7)</f>
        <v>49.999997927772313</v>
      </c>
      <c r="H8" s="117">
        <f>G8+F8</f>
        <v>99.995510623597966</v>
      </c>
      <c r="I8" s="117">
        <f t="shared" ref="I8:I21" si="1">H8-G8</f>
        <v>49.995512695825653</v>
      </c>
      <c r="J8" s="117">
        <f>G8-D8</f>
        <v>49.95006470433411</v>
      </c>
      <c r="K8" s="104"/>
      <c r="L8" s="104"/>
      <c r="M8" s="104"/>
      <c r="N8" s="104"/>
      <c r="O8" s="104"/>
      <c r="P8" s="104"/>
      <c r="Q8" s="104"/>
    </row>
    <row r="9" spans="1:17" x14ac:dyDescent="0.2">
      <c r="A9" s="116">
        <v>0.94350722524184805</v>
      </c>
      <c r="B9" s="116">
        <v>0.90628446796210926</v>
      </c>
      <c r="C9" s="97">
        <v>3</v>
      </c>
      <c r="D9" s="117">
        <f t="shared" ref="D9:D21" si="2">D8+E9</f>
        <v>5.187159864783359E-2</v>
      </c>
      <c r="E9" s="117">
        <f t="shared" ref="E9:E21" si="3">-(1/$I$2)*LN(A9)</f>
        <v>1.9383752096288477E-3</v>
      </c>
      <c r="F9" s="117">
        <f t="shared" si="0"/>
        <v>50.013182168570793</v>
      </c>
      <c r="G9" s="117">
        <f t="shared" ref="G9:G21" si="4">MAX(D9,H8)</f>
        <v>99.995510623597966</v>
      </c>
      <c r="H9" s="117">
        <f t="shared" ref="H9:H21" si="5">G9+F9</f>
        <v>150.00869279216874</v>
      </c>
      <c r="I9" s="117">
        <f t="shared" si="1"/>
        <v>50.013182168570779</v>
      </c>
      <c r="J9" s="117">
        <f t="shared" ref="J9:J21" si="6">G9-D9</f>
        <v>99.94363902495013</v>
      </c>
      <c r="K9" s="104"/>
      <c r="L9" s="104"/>
      <c r="M9" s="104"/>
      <c r="N9" s="104"/>
      <c r="O9" s="104"/>
      <c r="P9" s="104"/>
      <c r="Q9" s="104"/>
    </row>
    <row r="10" spans="1:17" x14ac:dyDescent="0.2">
      <c r="A10" s="116">
        <v>0.82446748760039634</v>
      </c>
      <c r="B10" s="116">
        <v>0.68810627814110004</v>
      </c>
      <c r="C10" s="97">
        <v>4</v>
      </c>
      <c r="D10" s="117">
        <f t="shared" si="2"/>
        <v>5.8305517668763719E-2</v>
      </c>
      <c r="E10" s="117">
        <f t="shared" si="3"/>
        <v>6.4339190209301272E-3</v>
      </c>
      <c r="F10" s="117">
        <f t="shared" si="0"/>
        <v>50.004904896616466</v>
      </c>
      <c r="G10" s="117">
        <f t="shared" si="4"/>
        <v>150.00869279216874</v>
      </c>
      <c r="H10" s="117">
        <f t="shared" si="5"/>
        <v>200.01359768878521</v>
      </c>
      <c r="I10" s="117">
        <f t="shared" si="1"/>
        <v>50.004904896616466</v>
      </c>
      <c r="J10" s="117">
        <f t="shared" si="6"/>
        <v>149.95038727449997</v>
      </c>
      <c r="K10" s="104"/>
      <c r="L10" s="104"/>
      <c r="M10" s="104"/>
      <c r="N10" s="104"/>
      <c r="O10" s="104"/>
      <c r="P10" s="104"/>
      <c r="Q10" s="104"/>
    </row>
    <row r="11" spans="1:17" x14ac:dyDescent="0.2">
      <c r="A11" s="116">
        <v>0.41227556613332261</v>
      </c>
      <c r="B11" s="116">
        <v>0.71384142766371306</v>
      </c>
      <c r="C11" s="97">
        <v>5</v>
      </c>
      <c r="D11" s="117">
        <f t="shared" si="2"/>
        <v>8.7840961114590818E-2</v>
      </c>
      <c r="E11" s="117">
        <f t="shared" si="3"/>
        <v>2.9535443445827102E-2</v>
      </c>
      <c r="F11" s="117">
        <f t="shared" si="0"/>
        <v>50.005646422162222</v>
      </c>
      <c r="G11" s="117">
        <f t="shared" si="4"/>
        <v>200.01359768878521</v>
      </c>
      <c r="H11" s="117">
        <f t="shared" si="5"/>
        <v>250.01924411094743</v>
      </c>
      <c r="I11" s="117">
        <f t="shared" si="1"/>
        <v>50.005646422162215</v>
      </c>
      <c r="J11" s="117">
        <f t="shared" si="6"/>
        <v>199.92575672767063</v>
      </c>
      <c r="K11" s="104"/>
      <c r="L11" s="104"/>
      <c r="M11" s="104"/>
      <c r="N11" s="104"/>
      <c r="O11" s="104"/>
      <c r="P11" s="104"/>
      <c r="Q11" s="104"/>
    </row>
    <row r="12" spans="1:17" x14ac:dyDescent="0.2">
      <c r="A12" s="116">
        <v>0.38787137280363282</v>
      </c>
      <c r="B12" s="116">
        <v>0.85623262527324651</v>
      </c>
      <c r="C12" s="97">
        <v>6</v>
      </c>
      <c r="D12" s="117">
        <f t="shared" si="2"/>
        <v>0.11941034470506665</v>
      </c>
      <c r="E12" s="117">
        <f t="shared" si="3"/>
        <v>3.1569383590475827E-2</v>
      </c>
      <c r="F12" s="117">
        <f t="shared" si="0"/>
        <v>50.010635452645239</v>
      </c>
      <c r="G12" s="117">
        <f t="shared" si="4"/>
        <v>250.01924411094743</v>
      </c>
      <c r="H12" s="117">
        <f t="shared" si="5"/>
        <v>300.02987956359266</v>
      </c>
      <c r="I12" s="117">
        <f t="shared" si="1"/>
        <v>50.010635452645232</v>
      </c>
      <c r="J12" s="117">
        <f t="shared" si="6"/>
        <v>249.89983376624235</v>
      </c>
      <c r="K12" s="104"/>
      <c r="L12" s="104"/>
      <c r="M12" s="104"/>
      <c r="N12" s="104"/>
      <c r="O12" s="104"/>
      <c r="P12" s="104"/>
      <c r="Q12" s="104"/>
    </row>
    <row r="13" spans="1:17" x14ac:dyDescent="0.2">
      <c r="A13" s="116">
        <v>0.59244315459871522</v>
      </c>
      <c r="B13" s="116">
        <v>0.71464957225793135</v>
      </c>
      <c r="C13" s="97">
        <v>7</v>
      </c>
      <c r="D13" s="117">
        <f t="shared" si="2"/>
        <v>0.13686035644443614</v>
      </c>
      <c r="E13" s="117">
        <f t="shared" si="3"/>
        <v>1.7450011739369498E-2</v>
      </c>
      <c r="F13" s="117">
        <f t="shared" si="0"/>
        <v>50.005670196144841</v>
      </c>
      <c r="G13" s="117">
        <f t="shared" si="4"/>
        <v>300.02987956359266</v>
      </c>
      <c r="H13" s="117">
        <f t="shared" si="5"/>
        <v>350.03554975973748</v>
      </c>
      <c r="I13" s="117">
        <f t="shared" si="1"/>
        <v>50.00567019614482</v>
      </c>
      <c r="J13" s="117">
        <f t="shared" si="6"/>
        <v>299.8930192071482</v>
      </c>
      <c r="K13" s="104"/>
      <c r="L13" s="104"/>
      <c r="M13" s="104"/>
      <c r="N13" s="104"/>
      <c r="O13" s="104"/>
      <c r="P13" s="104"/>
      <c r="Q13" s="104"/>
    </row>
    <row r="14" spans="1:17" x14ac:dyDescent="0.2">
      <c r="A14" s="116">
        <v>0.9889709741490833</v>
      </c>
      <c r="B14" s="116">
        <v>0.22162503908599929</v>
      </c>
      <c r="C14" s="97">
        <v>8</v>
      </c>
      <c r="D14" s="117">
        <f t="shared" si="2"/>
        <v>0.13723003299365527</v>
      </c>
      <c r="E14" s="117">
        <f t="shared" si="3"/>
        <v>3.6967654921913018E-4</v>
      </c>
      <c r="F14" s="117">
        <f t="shared" si="0"/>
        <v>49.992332834780271</v>
      </c>
      <c r="G14" s="117">
        <f t="shared" si="4"/>
        <v>350.03554975973748</v>
      </c>
      <c r="H14" s="117">
        <f t="shared" si="5"/>
        <v>400.02788259451773</v>
      </c>
      <c r="I14" s="117">
        <f t="shared" si="1"/>
        <v>49.992332834780257</v>
      </c>
      <c r="J14" s="117">
        <f t="shared" si="6"/>
        <v>349.89831972674381</v>
      </c>
      <c r="K14" s="104"/>
      <c r="L14" s="104"/>
      <c r="M14" s="104"/>
      <c r="N14" s="104"/>
      <c r="O14" s="104"/>
      <c r="P14" s="104"/>
      <c r="Q14" s="104"/>
    </row>
    <row r="15" spans="1:17" x14ac:dyDescent="0.2">
      <c r="A15" s="116">
        <v>0.40422338263841784</v>
      </c>
      <c r="B15" s="116">
        <v>0.15529580372087892</v>
      </c>
      <c r="C15" s="97">
        <v>9</v>
      </c>
      <c r="D15" s="117">
        <f t="shared" si="2"/>
        <v>0.16742295387719386</v>
      </c>
      <c r="E15" s="117">
        <f t="shared" si="3"/>
        <v>3.0192920883538584E-2</v>
      </c>
      <c r="F15" s="117">
        <f t="shared" si="0"/>
        <v>49.989860185575914</v>
      </c>
      <c r="G15" s="117">
        <v>400.02788259451773</v>
      </c>
      <c r="H15" s="117">
        <f t="shared" si="5"/>
        <v>450.01774278009367</v>
      </c>
      <c r="I15" s="117">
        <f t="shared" si="1"/>
        <v>49.989860185575935</v>
      </c>
      <c r="J15" s="117">
        <f t="shared" si="6"/>
        <v>399.86045964064056</v>
      </c>
      <c r="K15" s="104"/>
      <c r="L15" s="104"/>
      <c r="M15" s="104"/>
      <c r="N15" s="104"/>
      <c r="O15" s="104"/>
      <c r="P15" s="104"/>
      <c r="Q15" s="104"/>
    </row>
    <row r="16" spans="1:17" x14ac:dyDescent="0.2">
      <c r="A16" s="116">
        <v>0.98839109033539629</v>
      </c>
      <c r="B16" s="116">
        <v>0.54665671194194976</v>
      </c>
      <c r="C16" s="97">
        <v>10</v>
      </c>
      <c r="D16" s="117">
        <f t="shared" si="2"/>
        <v>0.16781218118179314</v>
      </c>
      <c r="E16" s="117">
        <f t="shared" si="3"/>
        <v>3.8922730459927703E-4</v>
      </c>
      <c r="F16" s="117">
        <f t="shared" si="0"/>
        <v>50.00117218917687</v>
      </c>
      <c r="G16" s="117">
        <f t="shared" si="4"/>
        <v>450.01774278009367</v>
      </c>
      <c r="H16" s="117">
        <f t="shared" si="5"/>
        <v>500.01891496927055</v>
      </c>
      <c r="I16" s="117">
        <f t="shared" si="1"/>
        <v>50.001172189176884</v>
      </c>
      <c r="J16" s="117">
        <f t="shared" si="6"/>
        <v>449.8499305989119</v>
      </c>
      <c r="K16" s="104"/>
      <c r="L16" s="104"/>
      <c r="M16" s="104"/>
      <c r="N16" s="104"/>
      <c r="O16" s="104"/>
      <c r="P16" s="104"/>
      <c r="Q16" s="104"/>
    </row>
    <row r="17" spans="1:17" x14ac:dyDescent="0.2">
      <c r="A17" s="116">
        <v>0.5520513160791205</v>
      </c>
      <c r="B17" s="116">
        <v>0.46579193232212024</v>
      </c>
      <c r="C17" s="97">
        <v>11</v>
      </c>
      <c r="D17" s="117">
        <f t="shared" si="2"/>
        <v>0.18761599028560874</v>
      </c>
      <c r="E17" s="117">
        <f t="shared" si="3"/>
        <v>1.9803809103815607E-2</v>
      </c>
      <c r="F17" s="117">
        <f t="shared" si="0"/>
        <v>49.999141477429177</v>
      </c>
      <c r="G17" s="117">
        <f t="shared" si="4"/>
        <v>500.01891496927055</v>
      </c>
      <c r="H17" s="117">
        <f t="shared" si="5"/>
        <v>550.01805644669969</v>
      </c>
      <c r="I17" s="117">
        <f t="shared" si="1"/>
        <v>49.999141477429134</v>
      </c>
      <c r="J17" s="117">
        <f t="shared" si="6"/>
        <v>499.83129897898493</v>
      </c>
      <c r="K17" s="104"/>
      <c r="L17" s="104"/>
      <c r="M17" s="104"/>
      <c r="N17" s="104"/>
      <c r="O17" s="104"/>
      <c r="P17" s="104"/>
      <c r="Q17" s="104"/>
    </row>
    <row r="18" spans="1:17" x14ac:dyDescent="0.2">
      <c r="A18" s="116">
        <v>0.40272293605317089</v>
      </c>
      <c r="B18" s="116">
        <v>0.71584637990967703</v>
      </c>
      <c r="C18" s="97">
        <v>12</v>
      </c>
      <c r="D18" s="117">
        <f t="shared" si="2"/>
        <v>0.21793287218776103</v>
      </c>
      <c r="E18" s="117">
        <f t="shared" si="3"/>
        <v>3.0316881902152287E-2</v>
      </c>
      <c r="F18" s="117">
        <f t="shared" si="0"/>
        <v>50.005705462828757</v>
      </c>
      <c r="G18" s="117">
        <f t="shared" si="4"/>
        <v>550.01805644669969</v>
      </c>
      <c r="H18" s="117">
        <f t="shared" si="5"/>
        <v>600.0237619095285</v>
      </c>
      <c r="I18" s="117">
        <f t="shared" si="1"/>
        <v>50.005705462828814</v>
      </c>
      <c r="J18" s="117">
        <f t="shared" si="6"/>
        <v>549.80012357451187</v>
      </c>
      <c r="K18" s="104"/>
      <c r="L18" s="104"/>
      <c r="M18" s="104"/>
      <c r="N18" s="104"/>
      <c r="O18" s="104"/>
      <c r="P18" s="104"/>
      <c r="Q18" s="104"/>
    </row>
    <row r="19" spans="1:17" x14ac:dyDescent="0.2">
      <c r="A19" s="116">
        <v>0.21534364439395037</v>
      </c>
      <c r="B19" s="116">
        <v>0.50590297223391167</v>
      </c>
      <c r="C19" s="97">
        <v>13</v>
      </c>
      <c r="D19" s="117">
        <f t="shared" si="2"/>
        <v>0.2691168782154818</v>
      </c>
      <c r="E19" s="117">
        <f t="shared" si="3"/>
        <v>5.1184006027720788E-2</v>
      </c>
      <c r="F19" s="117">
        <f t="shared" si="0"/>
        <v>50.000147970970687</v>
      </c>
      <c r="G19" s="117">
        <f t="shared" si="4"/>
        <v>600.0237619095285</v>
      </c>
      <c r="H19" s="117">
        <f t="shared" si="5"/>
        <v>650.02390988049922</v>
      </c>
      <c r="I19" s="117">
        <f t="shared" si="1"/>
        <v>50.000147970970716</v>
      </c>
      <c r="J19" s="117">
        <f t="shared" si="6"/>
        <v>599.75464503131298</v>
      </c>
      <c r="K19" s="104"/>
      <c r="L19" s="104"/>
      <c r="M19" s="104"/>
      <c r="N19" s="104"/>
      <c r="O19" s="104"/>
      <c r="P19" s="104"/>
      <c r="Q19" s="104"/>
    </row>
    <row r="20" spans="1:17" x14ac:dyDescent="0.2">
      <c r="A20" s="116">
        <v>0.79699385587307536</v>
      </c>
      <c r="B20" s="116">
        <v>0.28604606737827953</v>
      </c>
      <c r="C20" s="97">
        <v>14</v>
      </c>
      <c r="D20" s="117">
        <f t="shared" si="2"/>
        <v>0.276680488525125</v>
      </c>
      <c r="E20" s="117">
        <f t="shared" si="3"/>
        <v>7.5636103096432174E-3</v>
      </c>
      <c r="F20" s="117">
        <f t="shared" si="0"/>
        <v>49.994350270083615</v>
      </c>
      <c r="G20" s="117">
        <f t="shared" si="4"/>
        <v>650.02390988049922</v>
      </c>
      <c r="H20" s="117">
        <f t="shared" si="5"/>
        <v>700.01826015058282</v>
      </c>
      <c r="I20" s="117">
        <f t="shared" si="1"/>
        <v>49.994350270083601</v>
      </c>
      <c r="J20" s="117">
        <f t="shared" si="6"/>
        <v>649.74722939197409</v>
      </c>
      <c r="K20" s="104"/>
      <c r="L20" s="104"/>
      <c r="M20" s="104"/>
      <c r="N20" s="104"/>
      <c r="O20" s="104"/>
      <c r="P20" s="104"/>
      <c r="Q20" s="104"/>
    </row>
    <row r="21" spans="1:17" x14ac:dyDescent="0.2">
      <c r="A21" s="116">
        <v>0.55859616026994874</v>
      </c>
      <c r="B21" s="116">
        <v>0.67446108850084807</v>
      </c>
      <c r="C21" s="97">
        <v>15</v>
      </c>
      <c r="D21" s="117">
        <f t="shared" si="2"/>
        <v>0.29609143850312852</v>
      </c>
      <c r="E21" s="117">
        <f t="shared" si="3"/>
        <v>1.9410949978003501E-2</v>
      </c>
      <c r="F21" s="117">
        <f t="shared" si="0"/>
        <v>50.004522653663152</v>
      </c>
      <c r="G21" s="117">
        <f t="shared" si="4"/>
        <v>700.01826015058282</v>
      </c>
      <c r="H21" s="117">
        <f t="shared" si="5"/>
        <v>750.02278280424594</v>
      </c>
      <c r="I21" s="117">
        <f t="shared" si="1"/>
        <v>50.004522653663116</v>
      </c>
      <c r="J21" s="117">
        <f t="shared" si="6"/>
        <v>699.72216871207968</v>
      </c>
      <c r="K21" s="104"/>
      <c r="L21" s="104"/>
      <c r="M21" s="104"/>
      <c r="N21" s="104"/>
      <c r="O21" s="104"/>
      <c r="P21" s="104"/>
      <c r="Q21" s="104"/>
    </row>
    <row r="22" spans="1:17" x14ac:dyDescent="0.2">
      <c r="D22" s="117"/>
      <c r="E22" s="117"/>
      <c r="F22" s="117"/>
      <c r="G22" s="117"/>
      <c r="H22" s="117"/>
      <c r="I22" s="117"/>
      <c r="J22" s="117"/>
    </row>
    <row r="23" spans="1:17" x14ac:dyDescent="0.2">
      <c r="D23" s="117"/>
      <c r="E23" s="117"/>
      <c r="F23" s="117"/>
      <c r="G23" s="117"/>
      <c r="H23" s="117"/>
      <c r="I23" s="117"/>
      <c r="J23" s="117"/>
    </row>
    <row r="24" spans="1:17" x14ac:dyDescent="0.2">
      <c r="D24" s="117"/>
      <c r="E24" s="117"/>
      <c r="F24" s="117"/>
      <c r="G24" s="117"/>
      <c r="H24" s="117"/>
      <c r="I24" s="117"/>
      <c r="J24" s="117"/>
    </row>
    <row r="25" spans="1:17" x14ac:dyDescent="0.2">
      <c r="D25" s="117"/>
      <c r="E25" s="117"/>
      <c r="F25" s="117"/>
      <c r="G25" s="117"/>
      <c r="H25" s="117"/>
      <c r="I25" s="117"/>
      <c r="J25" s="117"/>
    </row>
    <row r="26" spans="1:17" x14ac:dyDescent="0.2">
      <c r="D26" s="117"/>
      <c r="E26" s="117"/>
      <c r="F26" s="117"/>
      <c r="G26" s="117"/>
      <c r="H26" s="117"/>
      <c r="I26" s="117"/>
      <c r="J26" s="117"/>
    </row>
    <row r="27" spans="1:17" x14ac:dyDescent="0.2">
      <c r="D27" s="117"/>
      <c r="E27" s="117"/>
      <c r="F27" s="117"/>
      <c r="G27" s="117"/>
      <c r="H27" s="117"/>
      <c r="I27" s="117"/>
      <c r="J27" s="117"/>
    </row>
    <row r="28" spans="1:17" x14ac:dyDescent="0.2">
      <c r="D28" s="117"/>
      <c r="E28" s="117"/>
      <c r="F28" s="117"/>
      <c r="G28" s="117"/>
      <c r="H28" s="117"/>
      <c r="I28" s="117"/>
      <c r="J28" s="117"/>
    </row>
    <row r="29" spans="1:17" x14ac:dyDescent="0.2">
      <c r="D29" s="117"/>
      <c r="E29" s="117"/>
      <c r="F29" s="117"/>
      <c r="G29" s="117"/>
      <c r="H29" s="117"/>
      <c r="I29" s="117"/>
      <c r="J29" s="117"/>
    </row>
    <row r="30" spans="1:17" x14ac:dyDescent="0.2">
      <c r="D30" s="117"/>
      <c r="E30" s="117"/>
      <c r="F30" s="117"/>
      <c r="G30" s="117"/>
      <c r="H30" s="117"/>
      <c r="I30" s="117"/>
      <c r="J30" s="117"/>
    </row>
    <row r="31" spans="1:17" x14ac:dyDescent="0.2">
      <c r="D31" s="117"/>
      <c r="E31" s="117"/>
      <c r="F31" s="117"/>
      <c r="G31" s="117"/>
      <c r="H31" s="117"/>
      <c r="I31" s="117"/>
      <c r="J31" s="117"/>
    </row>
    <row r="32" spans="1:17" x14ac:dyDescent="0.2">
      <c r="D32" s="117"/>
      <c r="E32" s="117"/>
      <c r="F32" s="117"/>
      <c r="G32" s="117"/>
      <c r="H32" s="117"/>
      <c r="I32" s="117"/>
      <c r="J32" s="117"/>
    </row>
    <row r="33" spans="4:10" x14ac:dyDescent="0.2">
      <c r="D33" s="117"/>
      <c r="E33" s="117"/>
      <c r="F33" s="117"/>
      <c r="G33" s="117"/>
      <c r="H33" s="117"/>
      <c r="I33" s="117"/>
      <c r="J33" s="117"/>
    </row>
    <row r="34" spans="4:10" x14ac:dyDescent="0.2">
      <c r="D34" s="117"/>
      <c r="E34" s="117"/>
      <c r="F34" s="117"/>
      <c r="G34" s="117"/>
      <c r="H34" s="117"/>
      <c r="I34" s="117"/>
      <c r="J34" s="117"/>
    </row>
    <row r="35" spans="4:10" x14ac:dyDescent="0.2">
      <c r="D35" s="117"/>
      <c r="E35" s="117"/>
      <c r="F35" s="117"/>
      <c r="G35" s="117"/>
      <c r="H35" s="117"/>
      <c r="I35" s="117"/>
      <c r="J35" s="117"/>
    </row>
    <row r="36" spans="4:10" x14ac:dyDescent="0.2">
      <c r="D36" s="117"/>
      <c r="E36" s="117"/>
      <c r="F36" s="117"/>
      <c r="G36" s="117"/>
      <c r="H36" s="117"/>
      <c r="I36" s="117"/>
      <c r="J36" s="117"/>
    </row>
    <row r="37" spans="4:10" x14ac:dyDescent="0.2">
      <c r="D37" s="117"/>
      <c r="E37" s="117"/>
      <c r="F37" s="117"/>
      <c r="G37" s="117"/>
      <c r="H37" s="117"/>
      <c r="I37" s="117"/>
      <c r="J37" s="117"/>
    </row>
    <row r="38" spans="4:10" x14ac:dyDescent="0.2">
      <c r="D38" s="117"/>
      <c r="E38" s="117"/>
      <c r="F38" s="117"/>
      <c r="G38" s="117"/>
      <c r="H38" s="117"/>
      <c r="I38" s="117"/>
      <c r="J38" s="117"/>
    </row>
    <row r="39" spans="4:10" x14ac:dyDescent="0.2">
      <c r="D39" s="117"/>
      <c r="E39" s="117"/>
      <c r="F39" s="117"/>
      <c r="G39" s="117"/>
      <c r="H39" s="117"/>
      <c r="I39" s="117"/>
      <c r="J39" s="117"/>
    </row>
    <row r="40" spans="4:10" x14ac:dyDescent="0.2">
      <c r="D40" s="117"/>
      <c r="E40" s="117"/>
      <c r="F40" s="117"/>
      <c r="G40" s="117"/>
      <c r="H40" s="117"/>
      <c r="I40" s="117"/>
      <c r="J40" s="117"/>
    </row>
    <row r="41" spans="4:10" x14ac:dyDescent="0.2">
      <c r="D41" s="117"/>
      <c r="E41" s="117"/>
      <c r="F41" s="117"/>
      <c r="G41" s="117"/>
      <c r="H41" s="117"/>
      <c r="I41" s="117"/>
      <c r="J41" s="117"/>
    </row>
    <row r="42" spans="4:10" x14ac:dyDescent="0.2">
      <c r="D42" s="117"/>
      <c r="E42" s="117"/>
      <c r="F42" s="117"/>
      <c r="G42" s="117"/>
      <c r="H42" s="117"/>
      <c r="I42" s="117"/>
      <c r="J42" s="117"/>
    </row>
    <row r="43" spans="4:10" x14ac:dyDescent="0.2">
      <c r="D43" s="117"/>
      <c r="E43" s="117"/>
      <c r="F43" s="117"/>
      <c r="G43" s="117"/>
      <c r="H43" s="117"/>
      <c r="I43" s="117"/>
      <c r="J43" s="117"/>
    </row>
    <row r="44" spans="4:10" x14ac:dyDescent="0.2">
      <c r="D44" s="117"/>
      <c r="E44" s="117"/>
      <c r="F44" s="117"/>
      <c r="G44" s="117"/>
      <c r="H44" s="117"/>
      <c r="I44" s="117"/>
      <c r="J44" s="117"/>
    </row>
    <row r="45" spans="4:10" x14ac:dyDescent="0.2">
      <c r="D45" s="117"/>
      <c r="E45" s="117"/>
      <c r="F45" s="117"/>
      <c r="G45" s="117"/>
      <c r="H45" s="117"/>
      <c r="I45" s="117"/>
      <c r="J45" s="117"/>
    </row>
    <row r="46" spans="4:10" x14ac:dyDescent="0.2">
      <c r="D46" s="117"/>
      <c r="E46" s="117"/>
      <c r="F46" s="117"/>
      <c r="G46" s="117"/>
      <c r="H46" s="117"/>
      <c r="I46" s="117"/>
      <c r="J46" s="117"/>
    </row>
    <row r="47" spans="4:10" x14ac:dyDescent="0.2">
      <c r="D47" s="117"/>
      <c r="E47" s="117"/>
      <c r="F47" s="117"/>
      <c r="G47" s="117"/>
      <c r="H47" s="117"/>
      <c r="I47" s="117"/>
      <c r="J47" s="117"/>
    </row>
    <row r="48" spans="4:10" x14ac:dyDescent="0.2">
      <c r="D48" s="117"/>
      <c r="E48" s="117"/>
      <c r="F48" s="117"/>
      <c r="G48" s="117"/>
      <c r="H48" s="117"/>
      <c r="I48" s="117"/>
      <c r="J48" s="117"/>
    </row>
    <row r="49" spans="4:10" x14ac:dyDescent="0.2">
      <c r="D49" s="117"/>
      <c r="E49" s="117"/>
      <c r="F49" s="117"/>
      <c r="G49" s="117"/>
      <c r="H49" s="117"/>
      <c r="I49" s="117"/>
      <c r="J49" s="117"/>
    </row>
    <row r="50" spans="4:10" x14ac:dyDescent="0.2">
      <c r="D50" s="117"/>
      <c r="E50" s="117"/>
      <c r="F50" s="117"/>
      <c r="G50" s="117"/>
      <c r="H50" s="117"/>
      <c r="I50" s="117"/>
      <c r="J50" s="117"/>
    </row>
    <row r="51" spans="4:10" x14ac:dyDescent="0.2">
      <c r="D51" s="117"/>
      <c r="E51" s="117"/>
      <c r="F51" s="117"/>
      <c r="G51" s="117"/>
      <c r="H51" s="117"/>
      <c r="I51" s="117"/>
      <c r="J51" s="117"/>
    </row>
  </sheetData>
  <mergeCells count="1">
    <mergeCell ref="C1:J1"/>
  </mergeCells>
  <printOptions gridLines="1" gridLinesSet="0"/>
  <pageMargins left="0.75" right="0.75" top="1" bottom="1" header="0.5" footer="0.5"/>
  <pageSetup orientation="portrait" horizontalDpi="4294967292"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1"/>
  <sheetViews>
    <sheetView showGridLines="0" zoomScaleNormal="100" workbookViewId="0"/>
  </sheetViews>
  <sheetFormatPr defaultColWidth="9.140625" defaultRowHeight="15" x14ac:dyDescent="0.2"/>
  <cols>
    <col min="1" max="1" width="71.42578125" style="11" customWidth="1"/>
    <col min="2" max="16384" width="9.140625" style="11"/>
  </cols>
  <sheetData>
    <row r="1" spans="1:8" ht="20.25" x14ac:dyDescent="0.3">
      <c r="A1" s="14" t="s">
        <v>41</v>
      </c>
      <c r="B1" s="16"/>
      <c r="C1" s="16"/>
      <c r="D1" s="16"/>
      <c r="E1" s="16"/>
      <c r="F1" s="16"/>
      <c r="G1" s="16"/>
      <c r="H1" s="16"/>
    </row>
    <row r="2" spans="1:8" x14ac:dyDescent="0.2">
      <c r="A2" s="18" t="s">
        <v>43</v>
      </c>
      <c r="B2" s="15"/>
      <c r="C2" s="15"/>
      <c r="D2" s="15"/>
      <c r="E2" s="15"/>
      <c r="F2" s="15"/>
      <c r="G2" s="15"/>
      <c r="H2" s="15"/>
    </row>
    <row r="4" spans="1:8" ht="30" x14ac:dyDescent="0.2">
      <c r="A4" s="17" t="s">
        <v>0</v>
      </c>
    </row>
    <row r="5" spans="1:8" ht="15.75" x14ac:dyDescent="0.25">
      <c r="A5" s="12" t="s">
        <v>29</v>
      </c>
    </row>
    <row r="6" spans="1:8" ht="15.75" x14ac:dyDescent="0.25">
      <c r="A6" s="12" t="s">
        <v>40</v>
      </c>
    </row>
    <row r="7" spans="1:8" ht="15.75" x14ac:dyDescent="0.25">
      <c r="A7" s="12" t="s">
        <v>39</v>
      </c>
    </row>
    <row r="8" spans="1:8" ht="15.75" x14ac:dyDescent="0.25">
      <c r="A8" s="12" t="s">
        <v>35</v>
      </c>
    </row>
    <row r="9" spans="1:8" ht="30" x14ac:dyDescent="0.2">
      <c r="A9" s="17" t="s">
        <v>1</v>
      </c>
    </row>
    <row r="10" spans="1:8" x14ac:dyDescent="0.2">
      <c r="A10" s="17"/>
    </row>
    <row r="11" spans="1:8" ht="75" x14ac:dyDescent="0.2">
      <c r="A11" s="17" t="s">
        <v>42</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29"/>
  <sheetViews>
    <sheetView workbookViewId="0">
      <selection sqref="A1:E1"/>
    </sheetView>
  </sheetViews>
  <sheetFormatPr defaultRowHeight="12.75" x14ac:dyDescent="0.2"/>
  <cols>
    <col min="1" max="1" width="29.42578125" customWidth="1"/>
    <col min="4" max="4" width="16.140625" bestFit="1" customWidth="1"/>
    <col min="5" max="5" width="9.7109375" bestFit="1" customWidth="1"/>
    <col min="18" max="18" width="10" bestFit="1" customWidth="1"/>
  </cols>
  <sheetData>
    <row r="1" spans="1:5" ht="15.75" x14ac:dyDescent="0.25">
      <c r="A1" s="166" t="s">
        <v>2</v>
      </c>
      <c r="B1" s="166"/>
      <c r="C1" s="166"/>
      <c r="D1" s="166"/>
      <c r="E1" s="166"/>
    </row>
    <row r="2" spans="1:5" x14ac:dyDescent="0.2">
      <c r="A2" s="1"/>
    </row>
    <row r="3" spans="1:5" ht="13.5" thickBot="1" x14ac:dyDescent="0.25">
      <c r="A3" s="165" t="s">
        <v>13</v>
      </c>
      <c r="B3" s="165"/>
      <c r="C3" s="3"/>
      <c r="D3" s="165" t="s">
        <v>37</v>
      </c>
      <c r="E3" s="165"/>
    </row>
    <row r="4" spans="1:5" ht="14.25" thickTop="1" thickBot="1" x14ac:dyDescent="0.25">
      <c r="A4" s="1" t="s">
        <v>3</v>
      </c>
      <c r="B4" s="5">
        <v>9</v>
      </c>
      <c r="C4" t="str">
        <f>CONCATENATE("per ",$B$7)</f>
        <v>per hour</v>
      </c>
      <c r="D4" t="s">
        <v>24</v>
      </c>
      <c r="E4" t="s">
        <v>23</v>
      </c>
    </row>
    <row r="5" spans="1:5" ht="14.25" thickTop="1" thickBot="1" x14ac:dyDescent="0.25">
      <c r="A5" s="1" t="s">
        <v>4</v>
      </c>
      <c r="B5" s="5">
        <v>1</v>
      </c>
      <c r="C5" t="str">
        <f>CONCATENATE("per ",$B$7)</f>
        <v>per hour</v>
      </c>
      <c r="D5" s="4">
        <v>0</v>
      </c>
      <c r="E5" s="20">
        <f t="shared" ref="E5:E25" ca="1" si="0">PrState(D5,$B$4,$B$5,$B$6)</f>
        <v>6.9596874242813575E-5</v>
      </c>
    </row>
    <row r="6" spans="1:5" ht="14.25" thickTop="1" thickBot="1" x14ac:dyDescent="0.25">
      <c r="A6" s="1" t="s">
        <v>5</v>
      </c>
      <c r="B6" s="5">
        <v>10</v>
      </c>
      <c r="D6" s="4">
        <v>1</v>
      </c>
      <c r="E6" s="20">
        <f t="shared" ca="1" si="0"/>
        <v>6.2637186818532227E-4</v>
      </c>
    </row>
    <row r="7" spans="1:5" ht="14.25" thickTop="1" thickBot="1" x14ac:dyDescent="0.25">
      <c r="A7" s="1" t="s">
        <v>6</v>
      </c>
      <c r="B7" s="10" t="s">
        <v>22</v>
      </c>
      <c r="D7" s="4">
        <v>2</v>
      </c>
      <c r="E7" s="20">
        <f t="shared" ca="1" si="0"/>
        <v>2.81867340683395E-3</v>
      </c>
    </row>
    <row r="8" spans="1:5" ht="13.5" thickTop="1" x14ac:dyDescent="0.2">
      <c r="A8" s="1"/>
      <c r="D8" s="4">
        <v>3</v>
      </c>
      <c r="E8" s="20">
        <f t="shared" ca="1" si="0"/>
        <v>8.4560202205018493E-3</v>
      </c>
    </row>
    <row r="9" spans="1:5" x14ac:dyDescent="0.2">
      <c r="A9" s="165" t="s">
        <v>14</v>
      </c>
      <c r="B9" s="165"/>
      <c r="D9" s="4">
        <v>4</v>
      </c>
      <c r="E9" s="20">
        <f t="shared" ca="1" si="0"/>
        <v>1.9026045496129164E-2</v>
      </c>
    </row>
    <row r="10" spans="1:5" x14ac:dyDescent="0.2">
      <c r="A10" s="1" t="s">
        <v>7</v>
      </c>
      <c r="B10" s="7">
        <f ca="1">Util(B4,B5,B6)</f>
        <v>0.9</v>
      </c>
      <c r="D10" s="4">
        <v>5</v>
      </c>
      <c r="E10" s="20">
        <f t="shared" ca="1" si="0"/>
        <v>3.4246881893032488E-2</v>
      </c>
    </row>
    <row r="11" spans="1:5" ht="25.5" x14ac:dyDescent="0.2">
      <c r="A11" s="1" t="s">
        <v>21</v>
      </c>
      <c r="B11" s="7">
        <f ca="1">Po(B4,B5,B6)</f>
        <v>6.9596874242813575E-5</v>
      </c>
      <c r="D11" s="4">
        <v>6</v>
      </c>
      <c r="E11" s="20">
        <f t="shared" ca="1" si="0"/>
        <v>5.1370322839548732E-2</v>
      </c>
    </row>
    <row r="12" spans="1:5" x14ac:dyDescent="0.2">
      <c r="A12" s="1" t="s">
        <v>8</v>
      </c>
      <c r="B12" s="8">
        <f ca="1">Lq(B4,B5,B6)</f>
        <v>6.0185837169692755</v>
      </c>
      <c r="D12" s="4">
        <v>7</v>
      </c>
      <c r="E12" s="20">
        <f t="shared" ca="1" si="0"/>
        <v>6.6047557936562667E-2</v>
      </c>
    </row>
    <row r="13" spans="1:5" x14ac:dyDescent="0.2">
      <c r="A13" s="1" t="s">
        <v>9</v>
      </c>
      <c r="B13" s="8">
        <f ca="1">L(B4,B5,B6)</f>
        <v>15.018583716969275</v>
      </c>
      <c r="D13" s="4">
        <v>8</v>
      </c>
      <c r="E13" s="20">
        <f t="shared" ca="1" si="0"/>
        <v>7.4303502678632991E-2</v>
      </c>
    </row>
    <row r="14" spans="1:5" x14ac:dyDescent="0.2">
      <c r="A14" s="1" t="s">
        <v>10</v>
      </c>
      <c r="B14" s="8">
        <f ca="1">Wq(B4,B5,B6)</f>
        <v>0.66873152410769732</v>
      </c>
      <c r="C14" t="str">
        <f>CONCATENATE($B$7,"s")</f>
        <v>hours</v>
      </c>
      <c r="D14" s="4">
        <v>9</v>
      </c>
      <c r="E14" s="20">
        <f t="shared" ca="1" si="0"/>
        <v>7.4303502678632991E-2</v>
      </c>
    </row>
    <row r="15" spans="1:5" x14ac:dyDescent="0.2">
      <c r="A15" s="1" t="s">
        <v>11</v>
      </c>
      <c r="B15" s="8">
        <f ca="1">W(B4,B5,B6)</f>
        <v>1.6687315241076972</v>
      </c>
      <c r="C15" t="str">
        <f>CONCATENATE($B$7,"s")</f>
        <v>hours</v>
      </c>
      <c r="D15" s="4">
        <v>10</v>
      </c>
      <c r="E15" s="20">
        <f t="shared" ca="1" si="0"/>
        <v>6.6873152410769687E-2</v>
      </c>
    </row>
    <row r="16" spans="1:5" x14ac:dyDescent="0.2">
      <c r="A16" s="1" t="s">
        <v>12</v>
      </c>
      <c r="B16" s="7">
        <f ca="1">PrWait(B4,B5,B6)</f>
        <v>0.6687315241076971</v>
      </c>
      <c r="D16" s="4">
        <v>11</v>
      </c>
      <c r="E16" s="20">
        <f t="shared" ca="1" si="0"/>
        <v>6.0185837169692724E-2</v>
      </c>
    </row>
    <row r="17" spans="1:18" x14ac:dyDescent="0.2">
      <c r="A17" s="1"/>
      <c r="D17" s="4">
        <v>12</v>
      </c>
      <c r="E17" s="20">
        <f t="shared" ca="1" si="0"/>
        <v>5.4167253452723454E-2</v>
      </c>
    </row>
    <row r="18" spans="1:18" ht="13.5" thickBot="1" x14ac:dyDescent="0.25">
      <c r="A18" s="165" t="s">
        <v>15</v>
      </c>
      <c r="B18" s="165"/>
      <c r="D18" s="4">
        <v>13</v>
      </c>
      <c r="E18" s="20">
        <f t="shared" ca="1" si="0"/>
        <v>4.8750528107451112E-2</v>
      </c>
      <c r="Q18" s="21"/>
    </row>
    <row r="19" spans="1:18" ht="14.25" thickTop="1" thickBot="1" x14ac:dyDescent="0.25">
      <c r="A19" s="1" t="s">
        <v>16</v>
      </c>
      <c r="B19" s="5">
        <v>0.1</v>
      </c>
      <c r="C19" t="str">
        <f>CONCATENATE($B$7,"s")</f>
        <v>hours</v>
      </c>
      <c r="D19" s="4">
        <v>14</v>
      </c>
      <c r="E19" s="20">
        <f t="shared" ca="1" si="0"/>
        <v>4.3875475296705997E-2</v>
      </c>
      <c r="F19" s="2"/>
      <c r="G19" s="2"/>
      <c r="H19" s="2"/>
      <c r="I19" s="2"/>
      <c r="J19" s="2"/>
      <c r="K19" s="2"/>
    </row>
    <row r="20" spans="1:18" ht="14.25" thickTop="1" thickBot="1" x14ac:dyDescent="0.25">
      <c r="A20" s="1" t="s">
        <v>20</v>
      </c>
      <c r="B20" s="6">
        <v>0.9</v>
      </c>
      <c r="D20" s="4">
        <v>15</v>
      </c>
      <c r="E20" s="20">
        <f t="shared" ca="1" si="0"/>
        <v>3.94879277670354E-2</v>
      </c>
      <c r="Q20" s="21"/>
      <c r="R20" s="24"/>
    </row>
    <row r="21" spans="1:18" ht="13.5" thickTop="1" x14ac:dyDescent="0.2">
      <c r="A21" s="1"/>
      <c r="D21" s="4">
        <v>16</v>
      </c>
      <c r="E21" s="20">
        <f t="shared" ca="1" si="0"/>
        <v>3.5539134990331858E-2</v>
      </c>
      <c r="Q21" s="21"/>
      <c r="R21" s="23"/>
    </row>
    <row r="22" spans="1:18" x14ac:dyDescent="0.2">
      <c r="A22" s="165" t="s">
        <v>17</v>
      </c>
      <c r="B22" s="165"/>
      <c r="D22" s="4">
        <v>17</v>
      </c>
      <c r="E22" s="20">
        <f t="shared" ca="1" si="0"/>
        <v>3.1985221491298677E-2</v>
      </c>
    </row>
    <row r="23" spans="1:18" x14ac:dyDescent="0.2">
      <c r="A23" s="1" t="s">
        <v>19</v>
      </c>
      <c r="B23" s="7">
        <f ca="1">ServiceLevel(B19,B4,B5,B6)</f>
        <v>0.39490669436713927</v>
      </c>
      <c r="D23" s="4">
        <v>18</v>
      </c>
      <c r="E23" s="20">
        <f t="shared" ca="1" si="0"/>
        <v>2.878669934216881E-2</v>
      </c>
      <c r="Q23" s="21"/>
      <c r="R23" s="23"/>
    </row>
    <row r="24" spans="1:18" ht="25.5" x14ac:dyDescent="0.2">
      <c r="A24" s="1" t="s">
        <v>18</v>
      </c>
      <c r="B24" s="4">
        <f ca="1">MinServers(B19,B20,B4,B5)</f>
        <v>14</v>
      </c>
      <c r="D24" s="4">
        <v>19</v>
      </c>
      <c r="E24" s="20">
        <f t="shared" ca="1" si="0"/>
        <v>2.5908029407951928E-2</v>
      </c>
    </row>
    <row r="25" spans="1:18" x14ac:dyDescent="0.2">
      <c r="D25" s="4">
        <v>20</v>
      </c>
      <c r="E25" s="20">
        <f t="shared" ca="1" si="0"/>
        <v>2.3317226467156737E-2</v>
      </c>
    </row>
    <row r="27" spans="1:18" x14ac:dyDescent="0.2">
      <c r="D27" t="s">
        <v>25</v>
      </c>
      <c r="E27" s="9">
        <f ca="1">SUM(E5:E25)</f>
        <v>0.79014496179558924</v>
      </c>
      <c r="N27" s="21"/>
    </row>
    <row r="28" spans="1:18" x14ac:dyDescent="0.2">
      <c r="K28" s="22"/>
      <c r="O28" s="21"/>
    </row>
    <row r="29" spans="1:18" x14ac:dyDescent="0.2">
      <c r="O29" s="21"/>
    </row>
  </sheetData>
  <mergeCells count="6">
    <mergeCell ref="A18:B18"/>
    <mergeCell ref="A22:B22"/>
    <mergeCell ref="A1:E1"/>
    <mergeCell ref="A9:B9"/>
    <mergeCell ref="A3:B3"/>
    <mergeCell ref="D3:E3"/>
  </mergeCells>
  <phoneticPr fontId="0"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27"/>
  <sheetViews>
    <sheetView workbookViewId="0">
      <selection activeCell="B5" sqref="B5:B7"/>
    </sheetView>
  </sheetViews>
  <sheetFormatPr defaultRowHeight="12.75" x14ac:dyDescent="0.2"/>
  <cols>
    <col min="1" max="1" width="29.42578125" customWidth="1"/>
    <col min="4" max="4" width="16.140625" bestFit="1" customWidth="1"/>
    <col min="5" max="5" width="9.7109375" bestFit="1" customWidth="1"/>
  </cols>
  <sheetData>
    <row r="1" spans="1:5" ht="15.75" x14ac:dyDescent="0.25">
      <c r="A1" s="166" t="s">
        <v>30</v>
      </c>
      <c r="B1" s="166"/>
      <c r="C1" s="166"/>
      <c r="D1" s="166"/>
      <c r="E1" s="166"/>
    </row>
    <row r="2" spans="1:5" x14ac:dyDescent="0.2">
      <c r="A2" s="1"/>
    </row>
    <row r="3" spans="1:5" ht="13.5" thickBot="1" x14ac:dyDescent="0.25">
      <c r="A3" s="165" t="s">
        <v>13</v>
      </c>
      <c r="B3" s="165"/>
      <c r="C3" s="3"/>
      <c r="D3" s="165" t="s">
        <v>37</v>
      </c>
      <c r="E3" s="165"/>
    </row>
    <row r="4" spans="1:5" ht="14.25" thickTop="1" thickBot="1" x14ac:dyDescent="0.25">
      <c r="A4" s="1" t="s">
        <v>3</v>
      </c>
      <c r="B4" s="5">
        <v>0.5</v>
      </c>
      <c r="C4" t="str">
        <f>CONCATENATE("per ",$B$8)</f>
        <v>per hour</v>
      </c>
      <c r="D4" t="s">
        <v>24</v>
      </c>
      <c r="E4" t="s">
        <v>23</v>
      </c>
    </row>
    <row r="5" spans="1:5" ht="14.25" thickTop="1" thickBot="1" x14ac:dyDescent="0.25">
      <c r="A5" s="1" t="s">
        <v>4</v>
      </c>
      <c r="B5" s="5">
        <v>20</v>
      </c>
      <c r="C5" t="str">
        <f>CONCATENATE("per ",$B$8)</f>
        <v>per hour</v>
      </c>
      <c r="D5" s="4">
        <v>0</v>
      </c>
      <c r="E5" s="7">
        <f t="shared" ref="E5:E25" ca="1" si="0">PrState(D5,$B$4,$B$5,$B$6,$B$7)</f>
        <v>0.9753099120086951</v>
      </c>
    </row>
    <row r="6" spans="1:5" ht="14.25" thickTop="1" thickBot="1" x14ac:dyDescent="0.25">
      <c r="A6" s="1" t="s">
        <v>5</v>
      </c>
      <c r="B6" s="5">
        <v>4</v>
      </c>
      <c r="D6" s="4">
        <v>1</v>
      </c>
      <c r="E6" s="7">
        <f t="shared" ca="1" si="0"/>
        <v>2.4382747800217378E-2</v>
      </c>
    </row>
    <row r="7" spans="1:5" ht="14.25" thickTop="1" thickBot="1" x14ac:dyDescent="0.25">
      <c r="A7" s="1" t="s">
        <v>26</v>
      </c>
      <c r="B7" s="5">
        <v>35</v>
      </c>
      <c r="D7" s="4">
        <v>2</v>
      </c>
      <c r="E7" s="7">
        <f t="shared" ca="1" si="0"/>
        <v>3.0478434750271725E-4</v>
      </c>
    </row>
    <row r="8" spans="1:5" ht="14.25" thickTop="1" thickBot="1" x14ac:dyDescent="0.25">
      <c r="A8" s="1" t="s">
        <v>6</v>
      </c>
      <c r="B8" s="10" t="s">
        <v>22</v>
      </c>
      <c r="D8" s="4">
        <v>3</v>
      </c>
      <c r="E8" s="7">
        <f t="shared" ca="1" si="0"/>
        <v>2.5398695625226434E-6</v>
      </c>
    </row>
    <row r="9" spans="1:5" ht="13.5" thickTop="1" x14ac:dyDescent="0.2">
      <c r="A9" s="1"/>
      <c r="D9" s="4">
        <v>4</v>
      </c>
      <c r="E9" s="7">
        <f t="shared" ca="1" si="0"/>
        <v>1.5874184765766521E-8</v>
      </c>
    </row>
    <row r="10" spans="1:5" x14ac:dyDescent="0.2">
      <c r="A10" s="165" t="s">
        <v>14</v>
      </c>
      <c r="B10" s="165"/>
      <c r="D10" s="4">
        <v>5</v>
      </c>
      <c r="E10" s="7">
        <f t="shared" ca="1" si="0"/>
        <v>9.9213654786040761E-11</v>
      </c>
    </row>
    <row r="11" spans="1:5" x14ac:dyDescent="0.2">
      <c r="A11" s="1" t="s">
        <v>7</v>
      </c>
      <c r="B11" s="7">
        <f ca="1">Util(B4,B5,B6,B7)</f>
        <v>6.2500000000000003E-3</v>
      </c>
      <c r="D11" s="4">
        <v>6</v>
      </c>
      <c r="E11" s="7">
        <f t="shared" ca="1" si="0"/>
        <v>6.2008534241275477E-13</v>
      </c>
    </row>
    <row r="12" spans="1:5" ht="25.5" x14ac:dyDescent="0.2">
      <c r="A12" s="1" t="s">
        <v>21</v>
      </c>
      <c r="B12" s="7">
        <f ca="1">Po(B4,B5,B6,B7)</f>
        <v>0.9753099120086951</v>
      </c>
      <c r="D12" s="4">
        <v>7</v>
      </c>
      <c r="E12" s="7">
        <f t="shared" ca="1" si="0"/>
        <v>3.875533390079717E-15</v>
      </c>
    </row>
    <row r="13" spans="1:5" x14ac:dyDescent="0.2">
      <c r="A13" s="1" t="s">
        <v>8</v>
      </c>
      <c r="B13" s="8">
        <f ca="1">Lq(B4,B5,B6,B7)</f>
        <v>1.0046554972203011E-10</v>
      </c>
      <c r="D13" s="4">
        <v>8</v>
      </c>
      <c r="E13" s="7">
        <f t="shared" ca="1" si="0"/>
        <v>2.4222083687998235E-17</v>
      </c>
    </row>
    <row r="14" spans="1:5" x14ac:dyDescent="0.2">
      <c r="A14" s="1" t="s">
        <v>9</v>
      </c>
      <c r="B14" s="8">
        <f ca="1">L(B4,B5,B6,B7)</f>
        <v>2.500000010046555E-2</v>
      </c>
      <c r="D14" s="4">
        <v>9</v>
      </c>
      <c r="E14" s="7">
        <f t="shared" ca="1" si="0"/>
        <v>1.5138802304998896E-19</v>
      </c>
    </row>
    <row r="15" spans="1:5" x14ac:dyDescent="0.2">
      <c r="A15" s="1" t="s">
        <v>10</v>
      </c>
      <c r="B15" s="8">
        <f ca="1">Wq(B4,B5,B6,B7)</f>
        <v>2.0093109944406022E-10</v>
      </c>
      <c r="C15" t="str">
        <f>CONCATENATE(B8,"s")</f>
        <v>hours</v>
      </c>
      <c r="D15" s="4">
        <v>10</v>
      </c>
      <c r="E15" s="7">
        <f t="shared" ca="1" si="0"/>
        <v>9.4617514406243104E-22</v>
      </c>
    </row>
    <row r="16" spans="1:5" x14ac:dyDescent="0.2">
      <c r="A16" s="1" t="s">
        <v>11</v>
      </c>
      <c r="B16" s="8">
        <f ca="1">W(B4,B5,B6,B7)</f>
        <v>5.0000000200931101E-2</v>
      </c>
      <c r="C16" t="str">
        <f>CONCATENATE(B8,"s")</f>
        <v>hours</v>
      </c>
      <c r="D16" s="4">
        <v>11</v>
      </c>
      <c r="E16" s="7">
        <f t="shared" ca="1" si="0"/>
        <v>5.9135946503901938E-24</v>
      </c>
    </row>
    <row r="17" spans="1:11" x14ac:dyDescent="0.2">
      <c r="A17" s="1" t="s">
        <v>12</v>
      </c>
      <c r="B17" s="7">
        <f ca="1">PrWait(B4,B5,B6,B7)</f>
        <v>1.5974022330041658E-8</v>
      </c>
      <c r="D17" s="4">
        <v>12</v>
      </c>
      <c r="E17" s="7">
        <f t="shared" ca="1" si="0"/>
        <v>3.695996656493871E-26</v>
      </c>
    </row>
    <row r="18" spans="1:11" x14ac:dyDescent="0.2">
      <c r="A18" s="1" t="s">
        <v>27</v>
      </c>
      <c r="B18" s="7">
        <f ca="1">PrBalk(B4,B5,B6,B7)</f>
        <v>1.1389169016154643E-85</v>
      </c>
      <c r="D18" s="4">
        <v>13</v>
      </c>
      <c r="E18" s="7">
        <f t="shared" ca="1" si="0"/>
        <v>2.3099979103086693E-28</v>
      </c>
    </row>
    <row r="19" spans="1:11" x14ac:dyDescent="0.2">
      <c r="A19" s="1"/>
      <c r="D19" s="4">
        <v>14</v>
      </c>
      <c r="E19" s="7">
        <f t="shared" ca="1" si="0"/>
        <v>1.4437486939429185E-30</v>
      </c>
    </row>
    <row r="20" spans="1:11" ht="13.5" thickBot="1" x14ac:dyDescent="0.25">
      <c r="A20" s="165" t="s">
        <v>15</v>
      </c>
      <c r="B20" s="165"/>
      <c r="D20" s="4">
        <v>15</v>
      </c>
      <c r="E20" s="7">
        <f t="shared" ca="1" si="0"/>
        <v>9.0234293371432405E-33</v>
      </c>
    </row>
    <row r="21" spans="1:11" ht="14.25" thickTop="1" thickBot="1" x14ac:dyDescent="0.25">
      <c r="A21" s="1" t="s">
        <v>16</v>
      </c>
      <c r="B21" s="5">
        <v>0.1</v>
      </c>
      <c r="C21" t="str">
        <f>CONCATENATE(B8,"s")</f>
        <v>hours</v>
      </c>
      <c r="D21" s="4">
        <v>16</v>
      </c>
      <c r="E21" s="7">
        <f t="shared" ca="1" si="0"/>
        <v>5.6396433357145253E-35</v>
      </c>
      <c r="F21" s="13"/>
      <c r="G21" s="13"/>
      <c r="H21" s="13"/>
      <c r="I21" s="13"/>
      <c r="J21" s="13"/>
      <c r="K21" s="13"/>
    </row>
    <row r="22" spans="1:11" ht="14.25" thickTop="1" thickBot="1" x14ac:dyDescent="0.25">
      <c r="A22" s="1" t="s">
        <v>20</v>
      </c>
      <c r="B22" s="6">
        <v>0.9</v>
      </c>
      <c r="D22" s="4">
        <v>17</v>
      </c>
      <c r="E22" s="7">
        <f t="shared" ca="1" si="0"/>
        <v>3.5247770848215779E-37</v>
      </c>
    </row>
    <row r="23" spans="1:11" ht="13.5" thickTop="1" x14ac:dyDescent="0.2">
      <c r="A23" s="1"/>
      <c r="D23" s="4">
        <v>18</v>
      </c>
      <c r="E23" s="7">
        <f t="shared" ca="1" si="0"/>
        <v>2.2029856780134863E-39</v>
      </c>
    </row>
    <row r="24" spans="1:11" x14ac:dyDescent="0.2">
      <c r="A24" s="165" t="s">
        <v>17</v>
      </c>
      <c r="B24" s="165"/>
      <c r="D24" s="4">
        <v>19</v>
      </c>
      <c r="E24" s="7">
        <f t="shared" ca="1" si="0"/>
        <v>1.3768660487584291E-41</v>
      </c>
    </row>
    <row r="25" spans="1:11" x14ac:dyDescent="0.2">
      <c r="A25" s="1" t="s">
        <v>19</v>
      </c>
      <c r="B25" s="7">
        <f ca="1">ServiceLevel(B21,B4,B5,B6,B7)</f>
        <v>0.99999999999436662</v>
      </c>
      <c r="D25" s="4">
        <v>20</v>
      </c>
      <c r="E25" s="7">
        <f t="shared" ca="1" si="0"/>
        <v>8.6054128047401814E-44</v>
      </c>
    </row>
    <row r="26" spans="1:11" ht="25.5" x14ac:dyDescent="0.2">
      <c r="A26" s="1" t="s">
        <v>28</v>
      </c>
      <c r="B26" s="4">
        <f ca="1">MinServers(B21,B22,B4,B5,B7)</f>
        <v>1</v>
      </c>
      <c r="D26" t="s">
        <v>25</v>
      </c>
      <c r="E26" s="9">
        <f ca="1">SUM(E5:E25)</f>
        <v>1</v>
      </c>
    </row>
    <row r="27" spans="1:11" ht="25.5" x14ac:dyDescent="0.2">
      <c r="A27" s="1" t="s">
        <v>28</v>
      </c>
      <c r="B27" s="4">
        <f ca="1">MinAgents(B21,B22,B4,B5,B6+B7)</f>
        <v>1</v>
      </c>
      <c r="D27" s="4"/>
      <c r="E27" s="7"/>
    </row>
  </sheetData>
  <mergeCells count="6">
    <mergeCell ref="A20:B20"/>
    <mergeCell ref="A24:B24"/>
    <mergeCell ref="A1:E1"/>
    <mergeCell ref="A10:B10"/>
    <mergeCell ref="A3:B3"/>
    <mergeCell ref="D3:E3"/>
  </mergeCells>
  <phoneticPr fontId="0" type="noConversion"/>
  <pageMargins left="0.75" right="0.75" top="1" bottom="1" header="0.5" footer="0.5"/>
  <pageSetup orientation="portrait"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activeCell="C19" sqref="C19"/>
    </sheetView>
  </sheetViews>
  <sheetFormatPr defaultRowHeight="12.75" x14ac:dyDescent="0.2"/>
  <cols>
    <col min="1" max="1" width="29.42578125" customWidth="1"/>
    <col min="2" max="2" width="9.42578125" customWidth="1"/>
    <col min="4" max="4" width="16.140625" bestFit="1" customWidth="1"/>
    <col min="5" max="5" width="9.7109375" bestFit="1" customWidth="1"/>
  </cols>
  <sheetData>
    <row r="1" spans="1:5" ht="15.75" x14ac:dyDescent="0.25">
      <c r="A1" s="166" t="s">
        <v>38</v>
      </c>
      <c r="B1" s="166"/>
      <c r="C1" s="166"/>
      <c r="D1" s="166"/>
      <c r="E1" s="166"/>
    </row>
    <row r="2" spans="1:5" x14ac:dyDescent="0.2">
      <c r="A2" s="1"/>
    </row>
    <row r="3" spans="1:5" ht="13.5" thickBot="1" x14ac:dyDescent="0.25">
      <c r="A3" s="165" t="s">
        <v>13</v>
      </c>
      <c r="B3" s="165"/>
      <c r="C3" s="3"/>
    </row>
    <row r="4" spans="1:5" ht="14.25" thickTop="1" thickBot="1" x14ac:dyDescent="0.25">
      <c r="A4" s="1" t="s">
        <v>3</v>
      </c>
      <c r="B4" s="5">
        <v>0.5</v>
      </c>
      <c r="C4" t="str">
        <f>CONCATENATE("per customer per ",$B$8)</f>
        <v>per customer per hour</v>
      </c>
    </row>
    <row r="5" spans="1:5" ht="14.25" thickTop="1" thickBot="1" x14ac:dyDescent="0.25">
      <c r="A5" s="1" t="s">
        <v>4</v>
      </c>
      <c r="B5" s="5">
        <v>20</v>
      </c>
      <c r="C5" t="str">
        <f>CONCATENATE("per ",$B$8)</f>
        <v>per hour</v>
      </c>
      <c r="D5" s="165" t="s">
        <v>37</v>
      </c>
      <c r="E5" s="165"/>
    </row>
    <row r="6" spans="1:5" ht="14.25" thickTop="1" thickBot="1" x14ac:dyDescent="0.25">
      <c r="A6" s="1" t="s">
        <v>5</v>
      </c>
      <c r="B6" s="5">
        <v>4</v>
      </c>
      <c r="D6" t="s">
        <v>24</v>
      </c>
      <c r="E6" t="s">
        <v>23</v>
      </c>
    </row>
    <row r="7" spans="1:5" ht="14.25" thickTop="1" thickBot="1" x14ac:dyDescent="0.25">
      <c r="A7" s="1" t="s">
        <v>36</v>
      </c>
      <c r="B7" s="5">
        <v>35</v>
      </c>
      <c r="D7" s="4">
        <v>0</v>
      </c>
      <c r="E7" s="7">
        <f ca="1">finpopPrState(D7,$B$4,$B$5,$B$6,$B$7)</f>
        <v>0.42114793523589095</v>
      </c>
    </row>
    <row r="8" spans="1:5" ht="14.25" thickTop="1" thickBot="1" x14ac:dyDescent="0.25">
      <c r="A8" s="1" t="s">
        <v>6</v>
      </c>
      <c r="B8" s="10" t="s">
        <v>22</v>
      </c>
      <c r="D8" s="4">
        <v>1</v>
      </c>
      <c r="E8" s="7">
        <f t="shared" ref="E8:E27" ca="1" si="0">finpopPrState(D8,$B$4,$B$5,$B$6,$B$7)</f>
        <v>0.36850444333140459</v>
      </c>
    </row>
    <row r="9" spans="1:5" ht="13.5" thickTop="1" x14ac:dyDescent="0.2">
      <c r="A9" s="1"/>
      <c r="D9" s="4">
        <v>2</v>
      </c>
      <c r="E9" s="7">
        <f t="shared" ca="1" si="0"/>
        <v>0.15661438841584696</v>
      </c>
    </row>
    <row r="10" spans="1:5" x14ac:dyDescent="0.2">
      <c r="A10" s="165" t="s">
        <v>14</v>
      </c>
      <c r="B10" s="165"/>
      <c r="D10" s="4">
        <v>3</v>
      </c>
      <c r="E10" s="7">
        <f t="shared" ca="1" si="0"/>
        <v>4.3068956814357913E-2</v>
      </c>
    </row>
    <row r="11" spans="1:5" x14ac:dyDescent="0.2">
      <c r="A11" s="1" t="s">
        <v>7</v>
      </c>
      <c r="B11" s="7">
        <f ca="1">FinPopUtil(B4,B5,B6,B7)</f>
        <v>0.21339929885404263</v>
      </c>
      <c r="D11" s="4">
        <v>4</v>
      </c>
      <c r="E11" s="7">
        <f t="shared" ca="1" si="0"/>
        <v>8.6137913628715826E-3</v>
      </c>
    </row>
    <row r="12" spans="1:5" ht="25.5" x14ac:dyDescent="0.2">
      <c r="A12" s="1" t="s">
        <v>21</v>
      </c>
      <c r="B12" s="7">
        <f ca="1">FinPopPo(B4,B5,B6,B7)</f>
        <v>0.42114793523589095</v>
      </c>
      <c r="D12" s="4">
        <v>5</v>
      </c>
      <c r="E12" s="7">
        <f t="shared" ca="1" si="0"/>
        <v>1.6689220765563691E-3</v>
      </c>
    </row>
    <row r="13" spans="1:5" x14ac:dyDescent="0.2">
      <c r="A13" s="1" t="s">
        <v>8</v>
      </c>
      <c r="B13" s="8">
        <f ca="1">finpopLq(B4,B5,B6,B7)</f>
        <v>2.5149879370203018E-3</v>
      </c>
      <c r="D13" s="4">
        <v>6</v>
      </c>
      <c r="E13" s="7">
        <f t="shared" ca="1" si="0"/>
        <v>3.1292288935431918E-4</v>
      </c>
    </row>
    <row r="14" spans="1:5" x14ac:dyDescent="0.2">
      <c r="A14" s="1" t="s">
        <v>9</v>
      </c>
      <c r="B14" s="8">
        <f ca="1">finpopl(B4,B5,B6,B7)</f>
        <v>0.85611218335319017</v>
      </c>
      <c r="D14" s="4">
        <v>7</v>
      </c>
      <c r="E14" s="7">
        <f t="shared" ca="1" si="0"/>
        <v>5.671727369547036E-5</v>
      </c>
    </row>
    <row r="15" spans="1:5" x14ac:dyDescent="0.2">
      <c r="A15" s="1" t="s">
        <v>10</v>
      </c>
      <c r="B15" s="8">
        <f ca="1">FinPopWq(B4,B5,B6,B7)</f>
        <v>1.4731702204071338E-4</v>
      </c>
      <c r="C15" t="str">
        <f>CONCATENATE(B8,"s")</f>
        <v>hours</v>
      </c>
      <c r="D15" s="4">
        <v>8</v>
      </c>
      <c r="E15" s="7">
        <f t="shared" ca="1" si="0"/>
        <v>9.9255228967073133E-6</v>
      </c>
    </row>
    <row r="16" spans="1:5" x14ac:dyDescent="0.2">
      <c r="A16" s="1" t="s">
        <v>11</v>
      </c>
      <c r="B16" s="8">
        <f ca="1">finpopW(B4,B5,B6,B7)</f>
        <v>5.0147317022040692E-2</v>
      </c>
      <c r="C16" t="str">
        <f>CONCATENATE(B8,"s")</f>
        <v>hours</v>
      </c>
      <c r="D16" s="4">
        <v>9</v>
      </c>
      <c r="E16" s="7">
        <f t="shared" ca="1" si="0"/>
        <v>1.6749319888193592E-6</v>
      </c>
    </row>
    <row r="17" spans="1:11" x14ac:dyDescent="0.2">
      <c r="A17" s="1" t="s">
        <v>12</v>
      </c>
      <c r="B17" s="7">
        <f ca="1">FinPopPrWait(B4,B5,B6,B7)</f>
        <v>1.0664276202499479E-2</v>
      </c>
      <c r="D17" s="4">
        <v>10</v>
      </c>
      <c r="E17" s="7">
        <f t="shared" ca="1" si="0"/>
        <v>2.7217644818314586E-7</v>
      </c>
    </row>
    <row r="18" spans="1:11" x14ac:dyDescent="0.2">
      <c r="D18" s="4">
        <v>11</v>
      </c>
      <c r="E18" s="7">
        <f t="shared" ca="1" si="0"/>
        <v>4.2527570028616542E-8</v>
      </c>
    </row>
    <row r="19" spans="1:11" x14ac:dyDescent="0.2">
      <c r="A19" s="1"/>
      <c r="D19" s="4">
        <v>12</v>
      </c>
      <c r="E19" s="7">
        <f t="shared" ca="1" si="0"/>
        <v>6.3791355042924807E-9</v>
      </c>
    </row>
    <row r="20" spans="1:11" x14ac:dyDescent="0.2">
      <c r="D20" s="4">
        <v>13</v>
      </c>
      <c r="E20" s="7">
        <f t="shared" ca="1" si="0"/>
        <v>9.1700072874204418E-10</v>
      </c>
    </row>
    <row r="21" spans="1:11" x14ac:dyDescent="0.2">
      <c r="D21" s="4">
        <v>14</v>
      </c>
      <c r="E21" s="7">
        <f t="shared" ca="1" si="0"/>
        <v>1.2608760020203107E-10</v>
      </c>
      <c r="F21" s="13"/>
      <c r="G21" s="13"/>
      <c r="H21" s="13"/>
      <c r="I21" s="13"/>
      <c r="J21" s="13"/>
      <c r="K21" s="13"/>
    </row>
    <row r="22" spans="1:11" x14ac:dyDescent="0.2">
      <c r="D22" s="4">
        <v>15</v>
      </c>
      <c r="E22" s="7">
        <f t="shared" ca="1" si="0"/>
        <v>1.6548997526516577E-11</v>
      </c>
    </row>
    <row r="23" spans="1:11" x14ac:dyDescent="0.2">
      <c r="D23" s="4">
        <v>16</v>
      </c>
      <c r="E23" s="7">
        <f t="shared" ca="1" si="0"/>
        <v>2.0686246908145721E-12</v>
      </c>
    </row>
    <row r="24" spans="1:11" x14ac:dyDescent="0.2">
      <c r="D24" s="4">
        <v>17</v>
      </c>
      <c r="E24" s="7">
        <f t="shared" ca="1" si="0"/>
        <v>2.4564918203423043E-13</v>
      </c>
    </row>
    <row r="25" spans="1:11" x14ac:dyDescent="0.2">
      <c r="D25" s="4">
        <v>18</v>
      </c>
      <c r="E25" s="7">
        <f t="shared" ca="1" si="0"/>
        <v>2.7635532978850925E-14</v>
      </c>
    </row>
    <row r="26" spans="1:11" x14ac:dyDescent="0.2">
      <c r="D26" s="4">
        <v>19</v>
      </c>
      <c r="E26" s="7">
        <f t="shared" ca="1" si="0"/>
        <v>2.9362753790029107E-15</v>
      </c>
    </row>
    <row r="27" spans="1:11" x14ac:dyDescent="0.2">
      <c r="D27" s="4">
        <v>20</v>
      </c>
      <c r="E27" s="7">
        <f t="shared" ca="1" si="0"/>
        <v>2.936275379002911E-16</v>
      </c>
    </row>
    <row r="28" spans="1:11" x14ac:dyDescent="0.2">
      <c r="D28" t="s">
        <v>25</v>
      </c>
      <c r="E28" s="9">
        <f ca="1">SUM(E7:E27)</f>
        <v>0.99999999999999989</v>
      </c>
    </row>
  </sheetData>
  <mergeCells count="4">
    <mergeCell ref="A1:E1"/>
    <mergeCell ref="A10:B10"/>
    <mergeCell ref="A3:B3"/>
    <mergeCell ref="D5:E5"/>
  </mergeCells>
  <phoneticPr fontId="0" type="noConversion"/>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7"/>
  <sheetViews>
    <sheetView workbookViewId="0">
      <selection sqref="A1:E1"/>
    </sheetView>
  </sheetViews>
  <sheetFormatPr defaultRowHeight="12.75" x14ac:dyDescent="0.2"/>
  <cols>
    <col min="1" max="1" width="29.42578125" customWidth="1"/>
    <col min="4" max="4" width="16.140625" bestFit="1" customWidth="1"/>
    <col min="5" max="5" width="9.7109375" bestFit="1" customWidth="1"/>
  </cols>
  <sheetData>
    <row r="1" spans="1:5" ht="15.75" x14ac:dyDescent="0.25">
      <c r="A1" s="166" t="s">
        <v>34</v>
      </c>
      <c r="B1" s="166"/>
      <c r="C1" s="166"/>
      <c r="D1" s="166"/>
      <c r="E1" s="166"/>
    </row>
    <row r="2" spans="1:5" x14ac:dyDescent="0.2">
      <c r="A2" s="1"/>
    </row>
    <row r="3" spans="1:5" ht="13.5" thickBot="1" x14ac:dyDescent="0.25">
      <c r="A3" s="165" t="s">
        <v>13</v>
      </c>
      <c r="B3" s="165"/>
      <c r="C3" s="3"/>
    </row>
    <row r="4" spans="1:5" ht="14.25" thickTop="1" thickBot="1" x14ac:dyDescent="0.25">
      <c r="A4" s="1" t="s">
        <v>3</v>
      </c>
      <c r="B4" s="5">
        <v>0.9</v>
      </c>
      <c r="C4" t="str">
        <f>CONCATENATE("per ",$B$8)</f>
        <v>per hour</v>
      </c>
    </row>
    <row r="5" spans="1:5" ht="14.25" thickTop="1" thickBot="1" x14ac:dyDescent="0.25">
      <c r="A5" s="1" t="s">
        <v>31</v>
      </c>
      <c r="B5" s="19">
        <v>1</v>
      </c>
      <c r="C5" t="str">
        <f>CONCATENATE($B$8,"s")</f>
        <v>hours</v>
      </c>
    </row>
    <row r="6" spans="1:5" ht="14.25" thickTop="1" thickBot="1" x14ac:dyDescent="0.25">
      <c r="A6" s="1" t="s">
        <v>32</v>
      </c>
      <c r="B6" s="5">
        <v>0.5</v>
      </c>
      <c r="C6" t="str">
        <f>CONCATENATE($B$8,"s")</f>
        <v>hours</v>
      </c>
    </row>
    <row r="7" spans="1:5" ht="14.25" thickTop="1" thickBot="1" x14ac:dyDescent="0.25">
      <c r="A7" s="1" t="s">
        <v>33</v>
      </c>
      <c r="B7" s="4">
        <f>1/B5</f>
        <v>1</v>
      </c>
      <c r="C7" t="str">
        <f>CONCATENATE("per ",$B$8)</f>
        <v>per hour</v>
      </c>
    </row>
    <row r="8" spans="1:5" ht="14.25" thickTop="1" thickBot="1" x14ac:dyDescent="0.25">
      <c r="A8" s="1" t="s">
        <v>6</v>
      </c>
      <c r="B8" s="10" t="s">
        <v>22</v>
      </c>
    </row>
    <row r="9" spans="1:5" ht="13.5" thickTop="1" x14ac:dyDescent="0.2">
      <c r="A9" s="1"/>
    </row>
    <row r="10" spans="1:5" x14ac:dyDescent="0.2">
      <c r="A10" s="165" t="s">
        <v>14</v>
      </c>
      <c r="B10" s="165"/>
    </row>
    <row r="11" spans="1:5" x14ac:dyDescent="0.2">
      <c r="A11" s="1" t="s">
        <v>7</v>
      </c>
      <c r="B11" s="7">
        <f>B4/B7</f>
        <v>0.9</v>
      </c>
    </row>
    <row r="12" spans="1:5" ht="25.5" x14ac:dyDescent="0.2">
      <c r="A12" s="1" t="s">
        <v>21</v>
      </c>
      <c r="B12" s="7">
        <f>1-B11</f>
        <v>9.9999999999999978E-2</v>
      </c>
    </row>
    <row r="13" spans="1:5" x14ac:dyDescent="0.2">
      <c r="A13" s="1" t="s">
        <v>8</v>
      </c>
      <c r="B13" s="8">
        <f>B11^2*(1+B6^2/B5^2)/(2*(1-B11))</f>
        <v>5.0625000000000018</v>
      </c>
    </row>
    <row r="14" spans="1:5" x14ac:dyDescent="0.2">
      <c r="A14" s="1" t="s">
        <v>9</v>
      </c>
      <c r="B14" s="8">
        <f>B11+B11^2*(1+B6^2/B5^2)/(2*(1-B11))</f>
        <v>5.9625000000000021</v>
      </c>
    </row>
    <row r="15" spans="1:5" x14ac:dyDescent="0.2">
      <c r="A15" s="1" t="s">
        <v>10</v>
      </c>
      <c r="B15" s="8">
        <f>B13/B4</f>
        <v>5.6250000000000018</v>
      </c>
      <c r="C15" t="str">
        <f>CONCATENATE(B8,"s")</f>
        <v>hours</v>
      </c>
    </row>
    <row r="16" spans="1:5" x14ac:dyDescent="0.2">
      <c r="A16" s="1" t="s">
        <v>11</v>
      </c>
      <c r="B16" s="8">
        <f>B14/B4</f>
        <v>6.6250000000000018</v>
      </c>
      <c r="C16" t="str">
        <f>CONCATENATE(B8,"s")</f>
        <v>hours</v>
      </c>
    </row>
    <row r="17" spans="1:11" x14ac:dyDescent="0.2">
      <c r="B17" s="7"/>
    </row>
    <row r="18" spans="1:11" x14ac:dyDescent="0.2">
      <c r="B18" s="7"/>
    </row>
    <row r="19" spans="1:11" x14ac:dyDescent="0.2">
      <c r="A19" s="1"/>
    </row>
    <row r="21" spans="1:11" x14ac:dyDescent="0.2">
      <c r="F21" s="13"/>
      <c r="G21" s="13"/>
      <c r="H21" s="13"/>
      <c r="I21" s="13"/>
      <c r="J21" s="13"/>
      <c r="K21" s="13"/>
    </row>
    <row r="27" spans="1:11" x14ac:dyDescent="0.2">
      <c r="D27" s="4"/>
      <c r="E27" s="7"/>
    </row>
  </sheetData>
  <mergeCells count="3">
    <mergeCell ref="A1:E1"/>
    <mergeCell ref="A10:B10"/>
    <mergeCell ref="A3:B3"/>
  </mergeCells>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Answers</vt:lpstr>
      <vt:lpstr>FC1</vt:lpstr>
      <vt:lpstr>FC2</vt:lpstr>
      <vt:lpstr>FC3</vt:lpstr>
      <vt:lpstr>MC1</vt:lpstr>
      <vt:lpstr>MC2</vt:lpstr>
      <vt:lpstr>AP</vt:lpstr>
      <vt:lpstr>DP</vt:lpstr>
      <vt:lpstr>PA</vt:lpstr>
      <vt:lpstr>IM</vt:lpstr>
      <vt:lpstr>CM Bugs</vt:lpstr>
      <vt:lpstr>Introduction</vt:lpstr>
      <vt:lpstr>MMs</vt:lpstr>
      <vt:lpstr>MMs finite cap</vt:lpstr>
      <vt:lpstr>MMs finite pop</vt:lpstr>
      <vt:lpstr>MG1</vt:lpstr>
    </vt:vector>
  </TitlesOfParts>
  <Company>University of Alberta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Faculty of Business</dc:creator>
  <cp:lastModifiedBy>Profile</cp:lastModifiedBy>
  <cp:lastPrinted>2007-04-04T20:10:42Z</cp:lastPrinted>
  <dcterms:created xsi:type="dcterms:W3CDTF">1999-07-08T15:48:42Z</dcterms:created>
  <dcterms:modified xsi:type="dcterms:W3CDTF">2023-12-12T19:02:32Z</dcterms:modified>
</cp:coreProperties>
</file>